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C:\Users\lapto\Downloads\"/>
    </mc:Choice>
  </mc:AlternateContent>
  <xr:revisionPtr revIDLastSave="0" documentId="8_{5A3AFB71-3446-4F11-A4E3-494A86A20D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 Review Form" sheetId="2" r:id="rId1"/>
    <sheet name="Scoring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" l="1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5" i="2"/>
  <c r="U5" i="2"/>
  <c r="V5" i="2"/>
  <c r="W5" i="2"/>
  <c r="X5" i="2"/>
  <c r="Y5" i="2"/>
  <c r="Z5" i="2"/>
  <c r="AA5" i="2"/>
  <c r="AB5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Y6" i="2"/>
  <c r="X6" i="2"/>
  <c r="W6" i="2"/>
  <c r="V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6" i="2"/>
  <c r="G30" i="6"/>
  <c r="G29" i="6"/>
  <c r="G28" i="6"/>
  <c r="G25" i="6"/>
  <c r="G24" i="6"/>
  <c r="G23" i="6"/>
  <c r="G20" i="6"/>
  <c r="G19" i="6"/>
  <c r="G18" i="6"/>
  <c r="G15" i="6"/>
  <c r="G14" i="6"/>
  <c r="G13" i="6"/>
  <c r="G10" i="6"/>
  <c r="G9" i="6"/>
  <c r="G8" i="6"/>
  <c r="Z34" i="2" l="1"/>
  <c r="AA34" i="2" s="1"/>
  <c r="AB34" i="2" s="1"/>
  <c r="Z29" i="2"/>
  <c r="AA29" i="2" s="1"/>
  <c r="AB29" i="2" s="1"/>
  <c r="Z26" i="2"/>
  <c r="AA26" i="2" s="1"/>
  <c r="AB26" i="2" s="1"/>
  <c r="Z31" i="2"/>
  <c r="AA31" i="2" s="1"/>
  <c r="AB31" i="2" s="1"/>
  <c r="Z51" i="2"/>
  <c r="AA51" i="2" s="1"/>
  <c r="AB51" i="2" s="1"/>
  <c r="Z27" i="2"/>
  <c r="AA27" i="2" s="1"/>
  <c r="AB27" i="2" s="1"/>
  <c r="Z91" i="2"/>
  <c r="AA91" i="2" s="1"/>
  <c r="AB91" i="2" s="1"/>
  <c r="Z67" i="2"/>
  <c r="AA67" i="2" s="1"/>
  <c r="AB67" i="2" s="1"/>
  <c r="Z87" i="2"/>
  <c r="AA87" i="2" s="1"/>
  <c r="AB87" i="2" s="1"/>
  <c r="Z95" i="2"/>
  <c r="AA95" i="2" s="1"/>
  <c r="AB95" i="2" s="1"/>
  <c r="Z90" i="2"/>
  <c r="AA90" i="2" s="1"/>
  <c r="AB90" i="2" s="1"/>
  <c r="Z69" i="2"/>
  <c r="AA69" i="2" s="1"/>
  <c r="AB69" i="2" s="1"/>
  <c r="Z62" i="2"/>
  <c r="AA62" i="2" s="1"/>
  <c r="AB62" i="2" s="1"/>
  <c r="Z54" i="2"/>
  <c r="AA54" i="2" s="1"/>
  <c r="AB54" i="2" s="1"/>
  <c r="Z50" i="2"/>
  <c r="AA50" i="2" s="1"/>
  <c r="AB50" i="2" s="1"/>
  <c r="Z35" i="2"/>
  <c r="AA35" i="2" s="1"/>
  <c r="AB35" i="2" s="1"/>
  <c r="Z93" i="2"/>
  <c r="AA93" i="2" s="1"/>
  <c r="AB93" i="2" s="1"/>
  <c r="Z86" i="2"/>
  <c r="AA86" i="2" s="1"/>
  <c r="AB86" i="2" s="1"/>
  <c r="Z71" i="2"/>
  <c r="AA71" i="2" s="1"/>
  <c r="AB71" i="2" s="1"/>
  <c r="Z66" i="2"/>
  <c r="AA66" i="2" s="1"/>
  <c r="AB66" i="2" s="1"/>
  <c r="Z47" i="2"/>
  <c r="AA47" i="2" s="1"/>
  <c r="AB47" i="2" s="1"/>
  <c r="Z38" i="2"/>
  <c r="AA38" i="2" s="1"/>
  <c r="AB38" i="2" s="1"/>
  <c r="Z33" i="2"/>
  <c r="AA33" i="2" s="1"/>
  <c r="AB33" i="2" s="1"/>
  <c r="Z49" i="2"/>
  <c r="AA49" i="2" s="1"/>
  <c r="AB49" i="2" s="1"/>
  <c r="Z104" i="2"/>
  <c r="AA104" i="2" s="1"/>
  <c r="AB104" i="2" s="1"/>
  <c r="Z94" i="2"/>
  <c r="AA94" i="2" s="1"/>
  <c r="AB94" i="2" s="1"/>
  <c r="Z80" i="2"/>
  <c r="AA80" i="2" s="1"/>
  <c r="AB80" i="2" s="1"/>
  <c r="Z56" i="2"/>
  <c r="AA56" i="2" s="1"/>
  <c r="AB56" i="2" s="1"/>
  <c r="Z53" i="2"/>
  <c r="AA53" i="2" s="1"/>
  <c r="AB53" i="2" s="1"/>
  <c r="Z48" i="2"/>
  <c r="AA48" i="2" s="1"/>
  <c r="AB48" i="2" s="1"/>
  <c r="Z46" i="2"/>
  <c r="AA46" i="2" s="1"/>
  <c r="AB46" i="2" s="1"/>
  <c r="Z44" i="2"/>
  <c r="AA44" i="2" s="1"/>
  <c r="AB44" i="2" s="1"/>
  <c r="Z39" i="2"/>
  <c r="AA39" i="2" s="1"/>
  <c r="AB39" i="2" s="1"/>
  <c r="Z32" i="2"/>
  <c r="AA32" i="2" s="1"/>
  <c r="AB32" i="2" s="1"/>
  <c r="Z20" i="2"/>
  <c r="AA20" i="2" s="1"/>
  <c r="AB20" i="2" s="1"/>
  <c r="Z18" i="2"/>
  <c r="AA18" i="2" s="1"/>
  <c r="AB18" i="2" s="1"/>
  <c r="Z73" i="2"/>
  <c r="AA73" i="2" s="1"/>
  <c r="AB73" i="2" s="1"/>
  <c r="Z30" i="2"/>
  <c r="AA30" i="2" s="1"/>
  <c r="AB30" i="2" s="1"/>
  <c r="Z99" i="2"/>
  <c r="AA99" i="2" s="1"/>
  <c r="AB99" i="2" s="1"/>
  <c r="Z92" i="2"/>
  <c r="AA92" i="2" s="1"/>
  <c r="AB92" i="2" s="1"/>
  <c r="Z89" i="2"/>
  <c r="AA89" i="2" s="1"/>
  <c r="AB89" i="2" s="1"/>
  <c r="Z70" i="2"/>
  <c r="AA70" i="2" s="1"/>
  <c r="AB70" i="2" s="1"/>
  <c r="Z58" i="2"/>
  <c r="AA58" i="2" s="1"/>
  <c r="AB58" i="2" s="1"/>
  <c r="Z55" i="2"/>
  <c r="AA55" i="2" s="1"/>
  <c r="AB55" i="2" s="1"/>
  <c r="Z78" i="2"/>
  <c r="AA78" i="2" s="1"/>
  <c r="AB78" i="2" s="1"/>
  <c r="Z102" i="2"/>
  <c r="AA102" i="2" s="1"/>
  <c r="AB102" i="2" s="1"/>
  <c r="Z75" i="2"/>
  <c r="AA75" i="2" s="1"/>
  <c r="AB75" i="2" s="1"/>
  <c r="Z42" i="2"/>
  <c r="AA42" i="2" s="1"/>
  <c r="AB42" i="2" s="1"/>
  <c r="Z97" i="2"/>
  <c r="AA97" i="2" s="1"/>
  <c r="AB97" i="2" s="1"/>
  <c r="Z61" i="2"/>
  <c r="AA61" i="2" s="1"/>
  <c r="AB61" i="2" s="1"/>
  <c r="Z65" i="2"/>
  <c r="AA65" i="2" s="1"/>
  <c r="AB65" i="2" s="1"/>
  <c r="Z63" i="2"/>
  <c r="AA63" i="2" s="1"/>
  <c r="AB63" i="2" s="1"/>
  <c r="Z82" i="2"/>
  <c r="AA82" i="2" s="1"/>
  <c r="AB82" i="2" s="1"/>
  <c r="Z22" i="2"/>
  <c r="AA22" i="2" s="1"/>
  <c r="AB22" i="2" s="1"/>
  <c r="Z101" i="2"/>
  <c r="AA101" i="2" s="1"/>
  <c r="AB101" i="2" s="1"/>
  <c r="Z77" i="2"/>
  <c r="AA77" i="2" s="1"/>
  <c r="AB77" i="2" s="1"/>
  <c r="Z41" i="2"/>
  <c r="AA41" i="2" s="1"/>
  <c r="AB41" i="2" s="1"/>
  <c r="Z96" i="2"/>
  <c r="AA96" i="2" s="1"/>
  <c r="AB96" i="2" s="1"/>
  <c r="Z88" i="2"/>
  <c r="AA88" i="2" s="1"/>
  <c r="AB88" i="2" s="1"/>
  <c r="Z79" i="2"/>
  <c r="AA79" i="2" s="1"/>
  <c r="AB79" i="2" s="1"/>
  <c r="Z74" i="2"/>
  <c r="AA74" i="2" s="1"/>
  <c r="AB74" i="2" s="1"/>
  <c r="Z24" i="2"/>
  <c r="AA24" i="2" s="1"/>
  <c r="AB24" i="2" s="1"/>
  <c r="Z19" i="2"/>
  <c r="AA19" i="2" s="1"/>
  <c r="AB19" i="2" s="1"/>
  <c r="Z98" i="2"/>
  <c r="AA98" i="2" s="1"/>
  <c r="AB98" i="2" s="1"/>
  <c r="Z84" i="2"/>
  <c r="AA84" i="2" s="1"/>
  <c r="AB84" i="2" s="1"/>
  <c r="Z72" i="2"/>
  <c r="AA72" i="2" s="1"/>
  <c r="AB72" i="2" s="1"/>
  <c r="Z60" i="2"/>
  <c r="AA60" i="2" s="1"/>
  <c r="AB60" i="2" s="1"/>
  <c r="Z36" i="2"/>
  <c r="AA36" i="2" s="1"/>
  <c r="AB36" i="2" s="1"/>
  <c r="Z28" i="2"/>
  <c r="AA28" i="2" s="1"/>
  <c r="AB28" i="2" s="1"/>
  <c r="Z103" i="2"/>
  <c r="AA103" i="2" s="1"/>
  <c r="AB103" i="2" s="1"/>
  <c r="Z57" i="2"/>
  <c r="AA57" i="2" s="1"/>
  <c r="AB57" i="2" s="1"/>
  <c r="Z45" i="2"/>
  <c r="AA45" i="2" s="1"/>
  <c r="AB45" i="2" s="1"/>
  <c r="Z43" i="2"/>
  <c r="AA43" i="2" s="1"/>
  <c r="AB43" i="2" s="1"/>
  <c r="Z105" i="2"/>
  <c r="AA105" i="2" s="1"/>
  <c r="AB105" i="2" s="1"/>
  <c r="Z81" i="2"/>
  <c r="AA81" i="2" s="1"/>
  <c r="AB81" i="2" s="1"/>
  <c r="Z21" i="2"/>
  <c r="AA21" i="2" s="1"/>
  <c r="AB21" i="2" s="1"/>
  <c r="Z100" i="2"/>
  <c r="AA100" i="2" s="1"/>
  <c r="AB100" i="2" s="1"/>
  <c r="Z76" i="2"/>
  <c r="AA76" i="2" s="1"/>
  <c r="AB76" i="2" s="1"/>
  <c r="Z68" i="2"/>
  <c r="AA68" i="2" s="1"/>
  <c r="AB68" i="2" s="1"/>
  <c r="Z64" i="2"/>
  <c r="AA64" i="2" s="1"/>
  <c r="AB64" i="2" s="1"/>
  <c r="Z59" i="2"/>
  <c r="AA59" i="2" s="1"/>
  <c r="AB59" i="2" s="1"/>
  <c r="Z52" i="2"/>
  <c r="AA52" i="2" s="1"/>
  <c r="AB52" i="2" s="1"/>
  <c r="Z40" i="2"/>
  <c r="AA40" i="2" s="1"/>
  <c r="AB40" i="2" s="1"/>
  <c r="Z85" i="2"/>
  <c r="AA85" i="2" s="1"/>
  <c r="AB85" i="2" s="1"/>
  <c r="Z83" i="2"/>
  <c r="AA83" i="2" s="1"/>
  <c r="AB83" i="2" s="1"/>
  <c r="Z37" i="2"/>
  <c r="AA37" i="2" s="1"/>
  <c r="AB37" i="2" s="1"/>
  <c r="Z25" i="2"/>
  <c r="AA25" i="2" s="1"/>
  <c r="AB25" i="2" s="1"/>
  <c r="Z23" i="2"/>
  <c r="AA23" i="2" s="1"/>
  <c r="AB23" i="2" s="1"/>
  <c r="Z15" i="2"/>
  <c r="AA15" i="2" s="1"/>
  <c r="AB15" i="2" s="1"/>
  <c r="Z13" i="2"/>
  <c r="AA13" i="2" s="1"/>
  <c r="AB13" i="2" s="1"/>
  <c r="Z14" i="2"/>
  <c r="AA14" i="2" s="1"/>
  <c r="AB14" i="2" s="1"/>
  <c r="Z17" i="2"/>
  <c r="AA17" i="2" s="1"/>
  <c r="AB17" i="2" s="1"/>
  <c r="Z12" i="2"/>
  <c r="AA12" i="2" s="1"/>
  <c r="AB12" i="2" s="1"/>
  <c r="Z11" i="2"/>
  <c r="AA11" i="2" s="1"/>
  <c r="AB11" i="2" s="1"/>
  <c r="Z16" i="2"/>
  <c r="AA16" i="2" s="1"/>
  <c r="AB16" i="2" s="1"/>
  <c r="Z10" i="2"/>
  <c r="AA10" i="2" s="1"/>
  <c r="AB10" i="2" s="1"/>
  <c r="Z9" i="2"/>
  <c r="AA9" i="2" s="1"/>
  <c r="AB9" i="2" s="1"/>
  <c r="Z8" i="2"/>
  <c r="AA8" i="2" s="1"/>
  <c r="AB8" i="2" s="1"/>
  <c r="Z7" i="2"/>
  <c r="AA7" i="2" s="1"/>
  <c r="AB7" i="2" s="1"/>
  <c r="Z6" i="2"/>
  <c r="AA6" i="2" s="1"/>
  <c r="AB6" i="2" s="1"/>
</calcChain>
</file>

<file path=xl/sharedStrings.xml><?xml version="1.0" encoding="utf-8"?>
<sst xmlns="http://schemas.openxmlformats.org/spreadsheetml/2006/main" count="117" uniqueCount="87">
  <si>
    <t>FEASIBILITY STUDY ORDER REVIEW</t>
  </si>
  <si>
    <t>Customer                   :</t>
  </si>
  <si>
    <t>Model                         :</t>
  </si>
  <si>
    <t>No</t>
  </si>
  <si>
    <t>Part No</t>
  </si>
  <si>
    <t>Part name</t>
  </si>
  <si>
    <t>Category</t>
  </si>
  <si>
    <t>Variant</t>
  </si>
  <si>
    <t>Destination</t>
  </si>
  <si>
    <t>SOP</t>
  </si>
  <si>
    <t>EOL</t>
  </si>
  <si>
    <t>Model Life</t>
  </si>
  <si>
    <t>Volume/y</t>
  </si>
  <si>
    <t>Forex</t>
  </si>
  <si>
    <t>Mat. Condition</t>
  </si>
  <si>
    <t>2d data</t>
  </si>
  <si>
    <t>3d data</t>
  </si>
  <si>
    <t>tech doc</t>
  </si>
  <si>
    <t>Customer Priority</t>
  </si>
  <si>
    <t>Volume Potential</t>
  </si>
  <si>
    <t>Type Product</t>
  </si>
  <si>
    <t>Technical Capability</t>
  </si>
  <si>
    <t>Investment</t>
  </si>
  <si>
    <t>Customer Score</t>
  </si>
  <si>
    <t>Volume Score</t>
  </si>
  <si>
    <t>Type Score</t>
  </si>
  <si>
    <t>Capability Score</t>
  </si>
  <si>
    <t>Investment Score</t>
  </si>
  <si>
    <t>Total Score</t>
  </si>
  <si>
    <t>Rank</t>
  </si>
  <si>
    <t>Action</t>
  </si>
  <si>
    <t>Ex.</t>
  </si>
  <si>
    <t>44517T9A 0000</t>
  </si>
  <si>
    <t>COVER COMP, HEAT</t>
  </si>
  <si>
    <t>BIW</t>
  </si>
  <si>
    <t>RHD</t>
  </si>
  <si>
    <t>Domestic</t>
  </si>
  <si>
    <t>Existing</t>
  </si>
  <si>
    <t>High</t>
  </si>
  <si>
    <t>New Product</t>
  </si>
  <si>
    <t>Available</t>
  </si>
  <si>
    <t>Low</t>
  </si>
  <si>
    <t>Priority</t>
  </si>
  <si>
    <t>Score Total</t>
  </si>
  <si>
    <t>Tindakan</t>
  </si>
  <si>
    <t>A</t>
  </si>
  <si>
    <t>Priority 1 - Review Now</t>
  </si>
  <si>
    <t>&gt;= 400</t>
  </si>
  <si>
    <t>Review hari yang sama (Fast Track)</t>
  </si>
  <si>
    <t>B</t>
  </si>
  <si>
    <t>Priority 2 - Review Next</t>
  </si>
  <si>
    <t>300 - 399</t>
  </si>
  <si>
    <t>Review setelah Rank A</t>
  </si>
  <si>
    <t>C</t>
  </si>
  <si>
    <t>Priority 3 - Pending</t>
  </si>
  <si>
    <t>200 - 299</t>
  </si>
  <si>
    <t>Review jika kapasitas tersedia</t>
  </si>
  <si>
    <t>D</t>
  </si>
  <si>
    <t>Priority 4 - Hold</t>
  </si>
  <si>
    <t>&lt; 200</t>
  </si>
  <si>
    <t>Hold / Reject / Review belakangan</t>
  </si>
  <si>
    <t>No.</t>
  </si>
  <si>
    <t>Score</t>
  </si>
  <si>
    <t>Descriptions</t>
  </si>
  <si>
    <t>Pattern Score</t>
  </si>
  <si>
    <t>Strategic</t>
  </si>
  <si>
    <t>Top customer berdasarkan omzet, target bisnis, atau arahan manajemen</t>
  </si>
  <si>
    <t xml:space="preserve">Customer aktif tetapi bukan customer prioritas utama </t>
  </si>
  <si>
    <t>New</t>
  </si>
  <si>
    <t>Customer yang belum pernah berbisnis atau belum memiliki histori order</t>
  </si>
  <si>
    <t>&gt;3000u/month</t>
  </si>
  <si>
    <t>Medium</t>
  </si>
  <si>
    <t>1000 ~ 3000u/month</t>
  </si>
  <si>
    <t>&lt;1000u/month</t>
  </si>
  <si>
    <t>Produk yang belum pernah diproduksi ( know-how belum ada )</t>
  </si>
  <si>
    <t>Similar</t>
  </si>
  <si>
    <t>Produk baru tetapi memiliki kemiripan tinggi dengan produk existing ( know-how sudah ada)</t>
  </si>
  <si>
    <t>Minor Modification</t>
  </si>
  <si>
    <t>Perubahan kecil dari produk existing tanpa perubahan signifikan pada proses produksi</t>
  </si>
  <si>
    <t>Siap produksi dengan fasilitas saat ini.</t>
  </si>
  <si>
    <t>Minor Gap</t>
  </si>
  <si>
    <t>Perlu penyesuaian kecil</t>
  </si>
  <si>
    <t>Not Available</t>
  </si>
  <si>
    <t>Perlu capability baru atau investasi besar</t>
  </si>
  <si>
    <t>≤ Rp 250 juta</t>
  </si>
  <si>
    <t>Rp 250 juta – Rp 1 miliar</t>
  </si>
  <si>
    <t>&gt; Rp 1 miliar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</si>
</sst>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</font>
    <font>
      <b/>
      <sz val="2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5" borderId="1" xfId="0" applyFon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8" fillId="6" borderId="5" xfId="0" applyFont="1" applyFill="1" applyBorder="1" applyAlignment="1">
      <alignment vertical="center"/>
    </xf>
    <xf numFmtId="0" fontId="8" fillId="6" borderId="0" xfId="0" applyFont="1" applyFill="1" applyBorder="1" applyAlignment="1">
      <alignment vertical="center"/>
    </xf>
    <xf numFmtId="0" fontId="8" fillId="6" borderId="6" xfId="0" applyFont="1" applyFill="1" applyBorder="1" applyAlignment="1">
      <alignment vertical="center"/>
    </xf>
    <xf numFmtId="0" fontId="8" fillId="6" borderId="7" xfId="0" applyFont="1" applyFill="1" applyBorder="1" applyAlignment="1">
      <alignment vertical="center"/>
    </xf>
    <xf numFmtId="0" fontId="8" fillId="6" borderId="8" xfId="0" applyFont="1" applyFill="1" applyBorder="1" applyAlignment="1">
      <alignment vertical="center"/>
    </xf>
    <xf numFmtId="0" fontId="8" fillId="6" borderId="9" xfId="0" applyFont="1" applyFill="1" applyBorder="1" applyAlignment="1">
      <alignment vertical="center"/>
    </xf>
    <xf numFmtId="0" fontId="6" fillId="0" borderId="12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8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</xdr:colOff>
      <xdr:row>0</xdr:row>
      <xdr:rowOff>91440</xdr:rowOff>
    </xdr:from>
    <xdr:to>
      <xdr:col>2</xdr:col>
      <xdr:colOff>739140</xdr:colOff>
      <xdr:row>0</xdr:row>
      <xdr:rowOff>587057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EA1FDF-0E37-810D-5970-3937B23B2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" y="91440"/>
          <a:ext cx="1706880" cy="495617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6AC8C-4BCE-420A-9866-281E691082FB}">
  <dimension ref="A1:AK105"/>
  <sheetViews>
    <sheetView tabSelected="1" zoomScaleNormal="100" workbookViewId="0">
      <selection activeCell="L7" sqref="L7"/>
    </sheetView>
  </sheetViews>
  <sheetFormatPr defaultRowHeight="15" customHeight="1"/>
  <cols>
    <col min="1" max="1" width="4" style="1" bestFit="1" customWidth="1"/>
    <col min="2" max="2" width="15.42578125" style="1" customWidth="1"/>
    <col min="3" max="3" width="21" style="1" customWidth="1"/>
    <col min="4" max="4" width="8.85546875" style="1" bestFit="1" customWidth="1"/>
    <col min="5" max="5" width="7.42578125" style="1" customWidth="1"/>
    <col min="6" max="6" width="10.5703125" style="1" bestFit="1" customWidth="1"/>
    <col min="7" max="8" width="11.140625" style="1" bestFit="1" customWidth="1"/>
    <col min="9" max="9" width="9.85546875" style="1" bestFit="1" customWidth="1"/>
    <col min="10" max="10" width="9.42578125" style="1" bestFit="1" customWidth="1"/>
    <col min="11" max="11" width="9.42578125" style="1" customWidth="1"/>
    <col min="12" max="12" width="14.7109375" style="1" bestFit="1" customWidth="1"/>
    <col min="13" max="14" width="7.28515625" style="1" customWidth="1"/>
    <col min="15" max="15" width="8.28515625" style="1" bestFit="1" customWidth="1"/>
    <col min="16" max="17" width="15.7109375" style="1" bestFit="1" customWidth="1"/>
    <col min="18" max="18" width="16.85546875" style="1" bestFit="1" customWidth="1"/>
    <col min="19" max="19" width="17.85546875" style="1" bestFit="1" customWidth="1"/>
    <col min="20" max="20" width="10.5703125" style="1" bestFit="1" customWidth="1"/>
    <col min="21" max="25" width="9.7109375" style="9" hidden="1" customWidth="1"/>
    <col min="26" max="26" width="9.7109375" style="9" customWidth="1"/>
    <col min="27" max="27" width="5.28515625" style="10" bestFit="1" customWidth="1"/>
    <col min="28" max="28" width="11.28515625" style="10" bestFit="1" customWidth="1"/>
  </cols>
  <sheetData>
    <row r="1" spans="1:37" ht="52.9" customHeight="1">
      <c r="A1" s="34"/>
      <c r="B1" s="34"/>
      <c r="C1" s="35"/>
      <c r="D1" s="46" t="s">
        <v>0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32"/>
      <c r="V1" s="17"/>
      <c r="W1" s="17"/>
      <c r="X1" s="17"/>
      <c r="Y1" s="17"/>
      <c r="Z1" s="37"/>
      <c r="AA1" s="38"/>
      <c r="AB1" s="39"/>
      <c r="AC1" s="1"/>
      <c r="AD1" s="9"/>
      <c r="AE1" s="9"/>
      <c r="AF1" s="9"/>
      <c r="AG1" s="9"/>
      <c r="AH1" s="9"/>
      <c r="AI1" s="9"/>
      <c r="AJ1" s="11"/>
      <c r="AK1" s="11"/>
    </row>
    <row r="2" spans="1:37" ht="15" customHeight="1">
      <c r="A2" s="36" t="s">
        <v>1</v>
      </c>
      <c r="B2" s="36"/>
      <c r="C2" s="33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  <c r="U2" s="18"/>
      <c r="V2" s="18"/>
      <c r="W2" s="18"/>
      <c r="X2" s="18"/>
      <c r="Y2" s="18"/>
      <c r="Z2" s="40"/>
      <c r="AA2" s="41"/>
      <c r="AB2" s="42"/>
    </row>
    <row r="3" spans="1:37" ht="15" customHeight="1">
      <c r="A3" s="36" t="s">
        <v>2</v>
      </c>
      <c r="B3" s="36"/>
      <c r="C3" s="33"/>
      <c r="D3" s="29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1"/>
      <c r="U3" s="18"/>
      <c r="V3" s="18"/>
      <c r="W3" s="18"/>
      <c r="X3" s="18"/>
      <c r="Y3" s="18"/>
      <c r="Z3" s="43"/>
      <c r="AA3" s="44"/>
      <c r="AB3" s="45"/>
    </row>
    <row r="4" spans="1:37" s="12" customFormat="1" ht="30.75">
      <c r="A4" s="13" t="s">
        <v>3</v>
      </c>
      <c r="B4" s="13" t="s">
        <v>4</v>
      </c>
      <c r="C4" s="13" t="s">
        <v>5</v>
      </c>
      <c r="D4" s="13" t="s">
        <v>6</v>
      </c>
      <c r="E4" s="16" t="s">
        <v>7</v>
      </c>
      <c r="F4" s="16" t="s">
        <v>8</v>
      </c>
      <c r="G4" s="16" t="s">
        <v>9</v>
      </c>
      <c r="H4" s="16" t="s">
        <v>10</v>
      </c>
      <c r="I4" s="16" t="s">
        <v>11</v>
      </c>
      <c r="J4" s="16" t="s">
        <v>12</v>
      </c>
      <c r="K4" s="16" t="s">
        <v>13</v>
      </c>
      <c r="L4" s="16" t="s">
        <v>14</v>
      </c>
      <c r="M4" s="16" t="s">
        <v>15</v>
      </c>
      <c r="N4" s="16" t="s">
        <v>16</v>
      </c>
      <c r="O4" s="16" t="s">
        <v>17</v>
      </c>
      <c r="P4" s="13" t="s">
        <v>18</v>
      </c>
      <c r="Q4" s="13" t="s">
        <v>19</v>
      </c>
      <c r="R4" s="13" t="s">
        <v>20</v>
      </c>
      <c r="S4" s="13" t="s">
        <v>21</v>
      </c>
      <c r="T4" s="13" t="s">
        <v>22</v>
      </c>
      <c r="U4" s="14" t="s">
        <v>23</v>
      </c>
      <c r="V4" s="14" t="s">
        <v>24</v>
      </c>
      <c r="W4" s="14" t="s">
        <v>25</v>
      </c>
      <c r="X4" s="14" t="s">
        <v>26</v>
      </c>
      <c r="Y4" s="14" t="s">
        <v>27</v>
      </c>
      <c r="Z4" s="14" t="s">
        <v>28</v>
      </c>
      <c r="AA4" s="15" t="s">
        <v>29</v>
      </c>
      <c r="AB4" s="15" t="s">
        <v>30</v>
      </c>
    </row>
    <row r="5" spans="1:37" s="12" customFormat="1">
      <c r="A5" s="20" t="s">
        <v>31</v>
      </c>
      <c r="B5" s="21" t="s">
        <v>32</v>
      </c>
      <c r="C5" s="21" t="s">
        <v>33</v>
      </c>
      <c r="D5" s="21" t="s">
        <v>34</v>
      </c>
      <c r="E5" s="21" t="s">
        <v>35</v>
      </c>
      <c r="F5" s="21" t="s">
        <v>36</v>
      </c>
      <c r="G5" s="24">
        <v>46203</v>
      </c>
      <c r="H5" s="24">
        <v>48029</v>
      </c>
      <c r="I5" s="21">
        <f>DATEDIF(G5, H5, "Y")</f>
        <v>5</v>
      </c>
      <c r="J5" s="21">
        <v>45625</v>
      </c>
      <c r="K5" s="21"/>
      <c r="L5" s="21"/>
      <c r="M5" s="22" t="b">
        <v>1</v>
      </c>
      <c r="N5" s="22" t="b">
        <v>0</v>
      </c>
      <c r="O5" s="22" t="b">
        <v>1</v>
      </c>
      <c r="P5" s="21" t="s">
        <v>37</v>
      </c>
      <c r="Q5" s="21" t="s">
        <v>38</v>
      </c>
      <c r="R5" s="21" t="s">
        <v>39</v>
      </c>
      <c r="S5" s="21" t="s">
        <v>40</v>
      </c>
      <c r="T5" s="21" t="s">
        <v>41</v>
      </c>
      <c r="U5" s="23">
        <f>IFERROR(VLOOKUP(P5,Scoring!$C$7:$E$10,2,FALSE),"")</f>
        <v>105</v>
      </c>
      <c r="V5" s="23">
        <f>IFERROR(VLOOKUP(Q5,Scoring!$C$12:$E$15,2,FALSE),"")</f>
        <v>125</v>
      </c>
      <c r="W5" s="23">
        <f>IFERROR(VLOOKUP(R5,Scoring!$C$17:$E$20,2,FALSE),"")</f>
        <v>50</v>
      </c>
      <c r="X5" s="23">
        <f>IFERROR(VLOOKUP(S5,Scoring!$C$22:$E$25,2,FALSE),"")</f>
        <v>100</v>
      </c>
      <c r="Y5" s="23">
        <f>IFERROR(VLOOKUP(T5,Scoring!$C$27:$E$30,2,FALSE),"")</f>
        <v>50</v>
      </c>
      <c r="Z5" s="23">
        <f t="shared" ref="Z5" si="0">SUM(U5:Y5)</f>
        <v>430</v>
      </c>
      <c r="AA5" s="8" t="str">
        <f t="shared" ref="AA5" si="1">IF(Z5&gt;=400,"A",IF(Z5&gt;=300,"B",IF(Z5&gt;=200,"C","D")))</f>
        <v>A</v>
      </c>
      <c r="AB5" s="8" t="str">
        <f t="shared" ref="AB5" si="2">IF(AA5="A","Review Now",IF(AA5="B","Review Next",IF(AA5="C","Pending","Hold")))</f>
        <v>Review Now</v>
      </c>
    </row>
    <row r="6" spans="1:37">
      <c r="A6" s="33">
        <v>1</v>
      </c>
      <c r="B6" s="33"/>
      <c r="C6" s="33"/>
      <c r="D6" s="25"/>
      <c r="E6" s="33"/>
      <c r="F6" s="25"/>
      <c r="G6" s="33"/>
      <c r="H6" s="33"/>
      <c r="I6" s="25">
        <f>DATEDIF(G6, H6, "Y")</f>
        <v>0</v>
      </c>
      <c r="J6" s="33"/>
      <c r="K6" s="33"/>
      <c r="L6" s="33"/>
      <c r="M6" s="19" t="b">
        <v>0</v>
      </c>
      <c r="N6" s="19" t="b">
        <v>0</v>
      </c>
      <c r="O6" s="19" t="b">
        <v>0</v>
      </c>
      <c r="P6" s="33"/>
      <c r="Q6" s="33"/>
      <c r="R6" s="33"/>
      <c r="S6" s="33"/>
      <c r="T6" s="33"/>
      <c r="U6" s="7" t="str">
        <f>IFERROR(VLOOKUP(P6,Scoring!$C$7:$E$10,2,FALSE),"")</f>
        <v/>
      </c>
      <c r="V6" s="7" t="str">
        <f>IFERROR(VLOOKUP(Q6,Scoring!$C$12:$E$15,2,FALSE),"")</f>
        <v/>
      </c>
      <c r="W6" s="7" t="str">
        <f>IFERROR(VLOOKUP(R6,Scoring!$C$17:$E$20,2,FALSE),"")</f>
        <v/>
      </c>
      <c r="X6" s="7" t="str">
        <f>IFERROR(VLOOKUP(S6,Scoring!$C$22:$E$25,2,FALSE),"")</f>
        <v/>
      </c>
      <c r="Y6" s="7" t="str">
        <f>IFERROR(VLOOKUP(T6,Scoring!$C$27:$E$30,2,FALSE),"")</f>
        <v/>
      </c>
      <c r="Z6" s="7">
        <f t="shared" ref="Z6:Z69" si="3">SUM(U6:Y6)</f>
        <v>0</v>
      </c>
      <c r="AA6" s="8" t="str">
        <f t="shared" ref="AA6:AA69" si="4">IF(Z6&gt;=400,"A",IF(Z6&gt;=300,"B",IF(Z6&gt;=200,"C","D")))</f>
        <v>D</v>
      </c>
      <c r="AB6" s="8" t="str">
        <f t="shared" ref="AB6:AB69" si="5">IF(AA6="A","Review Now",IF(AA6="B","Review Next",IF(AA6="C","Pending","Hold")))</f>
        <v>Hold</v>
      </c>
    </row>
    <row r="7" spans="1:37">
      <c r="A7" s="33">
        <v>2</v>
      </c>
      <c r="B7" s="33"/>
      <c r="C7" s="33"/>
      <c r="D7" s="25"/>
      <c r="E7" s="33"/>
      <c r="F7" s="25"/>
      <c r="G7" s="33"/>
      <c r="H7" s="33"/>
      <c r="I7" s="25">
        <f t="shared" ref="I7:I69" si="6">DATEDIF(G7, H7, "Y")</f>
        <v>0</v>
      </c>
      <c r="J7" s="33"/>
      <c r="K7" s="33"/>
      <c r="L7" s="33"/>
      <c r="M7" s="19" t="b">
        <v>0</v>
      </c>
      <c r="N7" s="19" t="b">
        <v>0</v>
      </c>
      <c r="O7" s="19" t="b">
        <v>0</v>
      </c>
      <c r="P7" s="33"/>
      <c r="Q7" s="33"/>
      <c r="R7" s="33"/>
      <c r="S7" s="33"/>
      <c r="T7" s="33"/>
      <c r="U7" s="7" t="str">
        <f>IFERROR(VLOOKUP(P7,Scoring!$C$7:$E$10,2,FALSE),"")</f>
        <v/>
      </c>
      <c r="V7" s="7" t="str">
        <f>IFERROR(VLOOKUP(Q7,Scoring!$C$12:$E$15,2,FALSE),"")</f>
        <v/>
      </c>
      <c r="W7" s="7" t="str">
        <f>IFERROR(VLOOKUP(R7,Scoring!$C$17:$E$20,2,FALSE),"")</f>
        <v/>
      </c>
      <c r="X7" s="7" t="str">
        <f>IFERROR(VLOOKUP(S7,Scoring!$C$22:$E$25,2,FALSE),"")</f>
        <v/>
      </c>
      <c r="Y7" s="7" t="str">
        <f>IFERROR(VLOOKUP(T7,Scoring!$C$27:$E$30,2,FALSE),"")</f>
        <v/>
      </c>
      <c r="Z7" s="7">
        <f t="shared" si="3"/>
        <v>0</v>
      </c>
      <c r="AA7" s="8" t="str">
        <f t="shared" si="4"/>
        <v>D</v>
      </c>
      <c r="AB7" s="8" t="str">
        <f t="shared" si="5"/>
        <v>Hold</v>
      </c>
    </row>
    <row r="8" spans="1:37">
      <c r="A8" s="33">
        <v>3</v>
      </c>
      <c r="B8" s="33"/>
      <c r="C8" s="33"/>
      <c r="D8" s="25"/>
      <c r="E8" s="33"/>
      <c r="F8" s="25"/>
      <c r="G8" s="33"/>
      <c r="H8" s="33"/>
      <c r="I8" s="25">
        <f t="shared" si="6"/>
        <v>0</v>
      </c>
      <c r="J8" s="33"/>
      <c r="K8" s="33"/>
      <c r="L8" s="33"/>
      <c r="M8" s="19" t="b">
        <v>0</v>
      </c>
      <c r="N8" s="19" t="b">
        <v>0</v>
      </c>
      <c r="O8" s="19" t="b">
        <v>0</v>
      </c>
      <c r="P8" s="33"/>
      <c r="Q8" s="33"/>
      <c r="R8" s="33"/>
      <c r="S8" s="33"/>
      <c r="T8" s="33"/>
      <c r="U8" s="7" t="str">
        <f>IFERROR(VLOOKUP(P8,Scoring!$C$7:$E$10,2,FALSE),"")</f>
        <v/>
      </c>
      <c r="V8" s="7" t="str">
        <f>IFERROR(VLOOKUP(Q8,Scoring!$C$12:$E$15,2,FALSE),"")</f>
        <v/>
      </c>
      <c r="W8" s="7" t="str">
        <f>IFERROR(VLOOKUP(R8,Scoring!$C$17:$E$20,2,FALSE),"")</f>
        <v/>
      </c>
      <c r="X8" s="7" t="str">
        <f>IFERROR(VLOOKUP(S8,Scoring!$C$22:$E$25,2,FALSE),"")</f>
        <v/>
      </c>
      <c r="Y8" s="7" t="str">
        <f>IFERROR(VLOOKUP(T8,Scoring!$C$27:$E$30,2,FALSE),"")</f>
        <v/>
      </c>
      <c r="Z8" s="7">
        <f t="shared" si="3"/>
        <v>0</v>
      </c>
      <c r="AA8" s="8" t="str">
        <f t="shared" si="4"/>
        <v>D</v>
      </c>
      <c r="AB8" s="8" t="str">
        <f t="shared" si="5"/>
        <v>Hold</v>
      </c>
    </row>
    <row r="9" spans="1:37">
      <c r="A9" s="33">
        <v>4</v>
      </c>
      <c r="B9" s="33"/>
      <c r="C9" s="33"/>
      <c r="D9" s="25"/>
      <c r="E9" s="33"/>
      <c r="F9" s="25"/>
      <c r="G9" s="33"/>
      <c r="H9" s="33"/>
      <c r="I9" s="25">
        <f t="shared" si="6"/>
        <v>0</v>
      </c>
      <c r="J9" s="33"/>
      <c r="K9" s="33"/>
      <c r="L9" s="33"/>
      <c r="M9" s="19" t="b">
        <v>0</v>
      </c>
      <c r="N9" s="19" t="b">
        <v>0</v>
      </c>
      <c r="O9" s="19" t="b">
        <v>0</v>
      </c>
      <c r="P9" s="33"/>
      <c r="Q9" s="33"/>
      <c r="R9" s="33"/>
      <c r="S9" s="33"/>
      <c r="T9" s="33"/>
      <c r="U9" s="7" t="str">
        <f>IFERROR(VLOOKUP(P9,Scoring!$C$7:$E$10,2,FALSE),"")</f>
        <v/>
      </c>
      <c r="V9" s="7" t="str">
        <f>IFERROR(VLOOKUP(Q9,Scoring!$C$12:$E$15,2,FALSE),"")</f>
        <v/>
      </c>
      <c r="W9" s="7" t="str">
        <f>IFERROR(VLOOKUP(R9,Scoring!$C$17:$E$20,2,FALSE),"")</f>
        <v/>
      </c>
      <c r="X9" s="7" t="str">
        <f>IFERROR(VLOOKUP(S9,Scoring!$C$22:$E$25,2,FALSE),"")</f>
        <v/>
      </c>
      <c r="Y9" s="7" t="str">
        <f>IFERROR(VLOOKUP(T9,Scoring!$C$27:$E$30,2,FALSE),"")</f>
        <v/>
      </c>
      <c r="Z9" s="7">
        <f t="shared" si="3"/>
        <v>0</v>
      </c>
      <c r="AA9" s="8" t="str">
        <f t="shared" si="4"/>
        <v>D</v>
      </c>
      <c r="AB9" s="8" t="str">
        <f t="shared" si="5"/>
        <v>Hold</v>
      </c>
    </row>
    <row r="10" spans="1:37">
      <c r="A10" s="33">
        <v>5</v>
      </c>
      <c r="B10" s="33"/>
      <c r="C10" s="33"/>
      <c r="D10" s="25"/>
      <c r="E10" s="33"/>
      <c r="F10" s="25"/>
      <c r="G10" s="33"/>
      <c r="H10" s="33"/>
      <c r="I10" s="25">
        <f t="shared" si="6"/>
        <v>0</v>
      </c>
      <c r="J10" s="33"/>
      <c r="K10" s="33"/>
      <c r="L10" s="33"/>
      <c r="M10" s="19" t="b">
        <v>0</v>
      </c>
      <c r="N10" s="19" t="b">
        <v>0</v>
      </c>
      <c r="O10" s="19" t="b">
        <v>0</v>
      </c>
      <c r="P10" s="33"/>
      <c r="Q10" s="33"/>
      <c r="R10" s="33"/>
      <c r="S10" s="33"/>
      <c r="T10" s="33"/>
      <c r="U10" s="7" t="str">
        <f>IFERROR(VLOOKUP(P10,Scoring!$C$7:$E$10,2,FALSE),"")</f>
        <v/>
      </c>
      <c r="V10" s="7" t="str">
        <f>IFERROR(VLOOKUP(Q10,Scoring!$C$12:$E$15,2,FALSE),"")</f>
        <v/>
      </c>
      <c r="W10" s="7" t="str">
        <f>IFERROR(VLOOKUP(R10,Scoring!$C$17:$E$20,2,FALSE),"")</f>
        <v/>
      </c>
      <c r="X10" s="7" t="str">
        <f>IFERROR(VLOOKUP(S10,Scoring!$C$22:$E$25,2,FALSE),"")</f>
        <v/>
      </c>
      <c r="Y10" s="7" t="str">
        <f>IFERROR(VLOOKUP(T10,Scoring!$C$27:$E$30,2,FALSE),"")</f>
        <v/>
      </c>
      <c r="Z10" s="7">
        <f t="shared" si="3"/>
        <v>0</v>
      </c>
      <c r="AA10" s="8" t="str">
        <f t="shared" si="4"/>
        <v>D</v>
      </c>
      <c r="AB10" s="8" t="str">
        <f t="shared" si="5"/>
        <v>Hold</v>
      </c>
    </row>
    <row r="11" spans="1:37">
      <c r="A11" s="33">
        <v>6</v>
      </c>
      <c r="B11" s="33"/>
      <c r="C11" s="33"/>
      <c r="D11" s="25"/>
      <c r="E11" s="33"/>
      <c r="F11" s="25"/>
      <c r="G11" s="33"/>
      <c r="H11" s="33"/>
      <c r="I11" s="25">
        <f t="shared" si="6"/>
        <v>0</v>
      </c>
      <c r="J11" s="33"/>
      <c r="K11" s="33"/>
      <c r="L11" s="33"/>
      <c r="M11" s="19" t="b">
        <v>0</v>
      </c>
      <c r="N11" s="19" t="b">
        <v>0</v>
      </c>
      <c r="O11" s="19" t="b">
        <v>0</v>
      </c>
      <c r="P11" s="33"/>
      <c r="Q11" s="33"/>
      <c r="R11" s="33"/>
      <c r="S11" s="33"/>
      <c r="T11" s="33"/>
      <c r="U11" s="7" t="str">
        <f>IFERROR(VLOOKUP(P11,Scoring!$C$7:$E$10,2,FALSE),"")</f>
        <v/>
      </c>
      <c r="V11" s="7" t="str">
        <f>IFERROR(VLOOKUP(Q11,Scoring!$C$12:$E$15,2,FALSE),"")</f>
        <v/>
      </c>
      <c r="W11" s="7" t="str">
        <f>IFERROR(VLOOKUP(R11,Scoring!$C$17:$E$20,2,FALSE),"")</f>
        <v/>
      </c>
      <c r="X11" s="7" t="str">
        <f>IFERROR(VLOOKUP(S11,Scoring!$C$22:$E$25,2,FALSE),"")</f>
        <v/>
      </c>
      <c r="Y11" s="7" t="str">
        <f>IFERROR(VLOOKUP(T11,Scoring!$C$27:$E$30,2,FALSE),"")</f>
        <v/>
      </c>
      <c r="Z11" s="7">
        <f t="shared" si="3"/>
        <v>0</v>
      </c>
      <c r="AA11" s="8" t="str">
        <f t="shared" si="4"/>
        <v>D</v>
      </c>
      <c r="AB11" s="8" t="str">
        <f t="shared" si="5"/>
        <v>Hold</v>
      </c>
    </row>
    <row r="12" spans="1:37">
      <c r="A12" s="33">
        <v>7</v>
      </c>
      <c r="B12" s="33"/>
      <c r="C12" s="33"/>
      <c r="D12" s="25"/>
      <c r="E12" s="33"/>
      <c r="F12" s="25"/>
      <c r="G12" s="33"/>
      <c r="H12" s="33"/>
      <c r="I12" s="25">
        <f t="shared" si="6"/>
        <v>0</v>
      </c>
      <c r="J12" s="33"/>
      <c r="K12" s="33"/>
      <c r="L12" s="33"/>
      <c r="M12" s="19" t="b">
        <v>0</v>
      </c>
      <c r="N12" s="19" t="b">
        <v>0</v>
      </c>
      <c r="O12" s="19" t="b">
        <v>0</v>
      </c>
      <c r="P12" s="33"/>
      <c r="Q12" s="33"/>
      <c r="R12" s="33"/>
      <c r="S12" s="33"/>
      <c r="T12" s="33"/>
      <c r="U12" s="7" t="str">
        <f>IFERROR(VLOOKUP(P12,Scoring!$C$7:$E$10,2,FALSE),"")</f>
        <v/>
      </c>
      <c r="V12" s="7" t="str">
        <f>IFERROR(VLOOKUP(Q12,Scoring!$C$12:$E$15,2,FALSE),"")</f>
        <v/>
      </c>
      <c r="W12" s="7" t="str">
        <f>IFERROR(VLOOKUP(R12,Scoring!$C$17:$E$20,2,FALSE),"")</f>
        <v/>
      </c>
      <c r="X12" s="7" t="str">
        <f>IFERROR(VLOOKUP(S12,Scoring!$C$22:$E$25,2,FALSE),"")</f>
        <v/>
      </c>
      <c r="Y12" s="7" t="str">
        <f>IFERROR(VLOOKUP(T12,Scoring!$C$27:$E$30,2,FALSE),"")</f>
        <v/>
      </c>
      <c r="Z12" s="7">
        <f t="shared" si="3"/>
        <v>0</v>
      </c>
      <c r="AA12" s="8" t="str">
        <f t="shared" si="4"/>
        <v>D</v>
      </c>
      <c r="AB12" s="8" t="str">
        <f t="shared" si="5"/>
        <v>Hold</v>
      </c>
    </row>
    <row r="13" spans="1:37">
      <c r="A13" s="33">
        <v>8</v>
      </c>
      <c r="B13" s="33"/>
      <c r="C13" s="33"/>
      <c r="D13" s="25"/>
      <c r="E13" s="33"/>
      <c r="F13" s="25"/>
      <c r="G13" s="33"/>
      <c r="H13" s="33"/>
      <c r="I13" s="25">
        <f t="shared" si="6"/>
        <v>0</v>
      </c>
      <c r="J13" s="33"/>
      <c r="K13" s="33"/>
      <c r="L13" s="33"/>
      <c r="M13" s="19" t="b">
        <v>0</v>
      </c>
      <c r="N13" s="19" t="b">
        <v>0</v>
      </c>
      <c r="O13" s="19" t="b">
        <v>0</v>
      </c>
      <c r="P13" s="33"/>
      <c r="Q13" s="33"/>
      <c r="R13" s="33"/>
      <c r="S13" s="33"/>
      <c r="T13" s="33"/>
      <c r="U13" s="7" t="str">
        <f>IFERROR(VLOOKUP(P13,Scoring!$C$7:$E$10,2,FALSE),"")</f>
        <v/>
      </c>
      <c r="V13" s="7" t="str">
        <f>IFERROR(VLOOKUP(Q13,Scoring!$C$12:$E$15,2,FALSE),"")</f>
        <v/>
      </c>
      <c r="W13" s="7" t="str">
        <f>IFERROR(VLOOKUP(R13,Scoring!$C$17:$E$20,2,FALSE),"")</f>
        <v/>
      </c>
      <c r="X13" s="7" t="str">
        <f>IFERROR(VLOOKUP(S13,Scoring!$C$22:$E$25,2,FALSE),"")</f>
        <v/>
      </c>
      <c r="Y13" s="7" t="str">
        <f>IFERROR(VLOOKUP(T13,Scoring!$C$27:$E$30,2,FALSE),"")</f>
        <v/>
      </c>
      <c r="Z13" s="7">
        <f t="shared" si="3"/>
        <v>0</v>
      </c>
      <c r="AA13" s="8" t="str">
        <f t="shared" si="4"/>
        <v>D</v>
      </c>
      <c r="AB13" s="8" t="str">
        <f t="shared" si="5"/>
        <v>Hold</v>
      </c>
    </row>
    <row r="14" spans="1:37">
      <c r="A14" s="33">
        <v>9</v>
      </c>
      <c r="B14" s="33"/>
      <c r="C14" s="33"/>
      <c r="D14" s="25"/>
      <c r="E14" s="33"/>
      <c r="F14" s="25"/>
      <c r="G14" s="33"/>
      <c r="H14" s="33"/>
      <c r="I14" s="25">
        <f t="shared" si="6"/>
        <v>0</v>
      </c>
      <c r="J14" s="33"/>
      <c r="K14" s="33"/>
      <c r="L14" s="33"/>
      <c r="M14" s="19" t="b">
        <v>0</v>
      </c>
      <c r="N14" s="19" t="b">
        <v>0</v>
      </c>
      <c r="O14" s="19" t="b">
        <v>0</v>
      </c>
      <c r="P14" s="33"/>
      <c r="Q14" s="33"/>
      <c r="R14" s="33"/>
      <c r="S14" s="33"/>
      <c r="T14" s="33"/>
      <c r="U14" s="7" t="str">
        <f>IFERROR(VLOOKUP(P14,Scoring!$C$7:$E$10,2,FALSE),"")</f>
        <v/>
      </c>
      <c r="V14" s="7" t="str">
        <f>IFERROR(VLOOKUP(Q14,Scoring!$C$12:$E$15,2,FALSE),"")</f>
        <v/>
      </c>
      <c r="W14" s="7" t="str">
        <f>IFERROR(VLOOKUP(R14,Scoring!$C$17:$E$20,2,FALSE),"")</f>
        <v/>
      </c>
      <c r="X14" s="7" t="str">
        <f>IFERROR(VLOOKUP(S14,Scoring!$C$22:$E$25,2,FALSE),"")</f>
        <v/>
      </c>
      <c r="Y14" s="7" t="str">
        <f>IFERROR(VLOOKUP(T14,Scoring!$C$27:$E$30,2,FALSE),"")</f>
        <v/>
      </c>
      <c r="Z14" s="7">
        <f t="shared" si="3"/>
        <v>0</v>
      </c>
      <c r="AA14" s="8" t="str">
        <f t="shared" si="4"/>
        <v>D</v>
      </c>
      <c r="AB14" s="8" t="str">
        <f t="shared" si="5"/>
        <v>Hold</v>
      </c>
    </row>
    <row r="15" spans="1:37">
      <c r="A15" s="33">
        <v>10</v>
      </c>
      <c r="B15" s="33"/>
      <c r="C15" s="33"/>
      <c r="D15" s="25"/>
      <c r="E15" s="33"/>
      <c r="F15" s="25"/>
      <c r="G15" s="33"/>
      <c r="H15" s="33"/>
      <c r="I15" s="25">
        <f t="shared" si="6"/>
        <v>0</v>
      </c>
      <c r="J15" s="33"/>
      <c r="K15" s="33"/>
      <c r="L15" s="33"/>
      <c r="M15" s="19" t="b">
        <v>0</v>
      </c>
      <c r="N15" s="19" t="b">
        <v>0</v>
      </c>
      <c r="O15" s="19" t="b">
        <v>0</v>
      </c>
      <c r="P15" s="33"/>
      <c r="Q15" s="33"/>
      <c r="R15" s="33"/>
      <c r="S15" s="33"/>
      <c r="T15" s="33"/>
      <c r="U15" s="7" t="str">
        <f>IFERROR(VLOOKUP(P15,Scoring!$C$7:$E$10,2,FALSE),"")</f>
        <v/>
      </c>
      <c r="V15" s="7" t="str">
        <f>IFERROR(VLOOKUP(Q15,Scoring!$C$12:$E$15,2,FALSE),"")</f>
        <v/>
      </c>
      <c r="W15" s="7" t="str">
        <f>IFERROR(VLOOKUP(R15,Scoring!$C$17:$E$20,2,FALSE),"")</f>
        <v/>
      </c>
      <c r="X15" s="7" t="str">
        <f>IFERROR(VLOOKUP(S15,Scoring!$C$22:$E$25,2,FALSE),"")</f>
        <v/>
      </c>
      <c r="Y15" s="7" t="str">
        <f>IFERROR(VLOOKUP(T15,Scoring!$C$27:$E$30,2,FALSE),"")</f>
        <v/>
      </c>
      <c r="Z15" s="7">
        <f t="shared" si="3"/>
        <v>0</v>
      </c>
      <c r="AA15" s="8" t="str">
        <f t="shared" si="4"/>
        <v>D</v>
      </c>
      <c r="AB15" s="8" t="str">
        <f t="shared" si="5"/>
        <v>Hold</v>
      </c>
    </row>
    <row r="16" spans="1:37">
      <c r="A16" s="33">
        <v>11</v>
      </c>
      <c r="B16" s="33"/>
      <c r="C16" s="33"/>
      <c r="D16" s="25"/>
      <c r="E16" s="33"/>
      <c r="F16" s="25"/>
      <c r="G16" s="33"/>
      <c r="H16" s="33"/>
      <c r="I16" s="25">
        <f t="shared" si="6"/>
        <v>0</v>
      </c>
      <c r="J16" s="33"/>
      <c r="K16" s="33"/>
      <c r="L16" s="33"/>
      <c r="M16" s="19" t="b">
        <v>0</v>
      </c>
      <c r="N16" s="19" t="b">
        <v>0</v>
      </c>
      <c r="O16" s="19" t="b">
        <v>0</v>
      </c>
      <c r="P16" s="33"/>
      <c r="Q16" s="33"/>
      <c r="R16" s="33"/>
      <c r="S16" s="33"/>
      <c r="T16" s="33"/>
      <c r="U16" s="7" t="str">
        <f>IFERROR(VLOOKUP(P16,Scoring!$C$7:$E$10,2,FALSE),"")</f>
        <v/>
      </c>
      <c r="V16" s="7" t="str">
        <f>IFERROR(VLOOKUP(Q16,Scoring!$C$12:$E$15,2,FALSE),"")</f>
        <v/>
      </c>
      <c r="W16" s="7" t="str">
        <f>IFERROR(VLOOKUP(R16,Scoring!$C$17:$E$20,2,FALSE),"")</f>
        <v/>
      </c>
      <c r="X16" s="7" t="str">
        <f>IFERROR(VLOOKUP(S16,Scoring!$C$22:$E$25,2,FALSE),"")</f>
        <v/>
      </c>
      <c r="Y16" s="7" t="str">
        <f>IFERROR(VLOOKUP(T16,Scoring!$C$27:$E$30,2,FALSE),"")</f>
        <v/>
      </c>
      <c r="Z16" s="7">
        <f t="shared" si="3"/>
        <v>0</v>
      </c>
      <c r="AA16" s="8" t="str">
        <f t="shared" si="4"/>
        <v>D</v>
      </c>
      <c r="AB16" s="8" t="str">
        <f t="shared" si="5"/>
        <v>Hold</v>
      </c>
    </row>
    <row r="17" spans="1:28">
      <c r="A17" s="33">
        <v>12</v>
      </c>
      <c r="B17" s="33"/>
      <c r="C17" s="33"/>
      <c r="D17" s="25"/>
      <c r="E17" s="33"/>
      <c r="F17" s="25"/>
      <c r="G17" s="33"/>
      <c r="H17" s="33"/>
      <c r="I17" s="25">
        <f t="shared" si="6"/>
        <v>0</v>
      </c>
      <c r="J17" s="33"/>
      <c r="K17" s="33"/>
      <c r="L17" s="33"/>
      <c r="M17" s="19" t="b">
        <v>0</v>
      </c>
      <c r="N17" s="19" t="b">
        <v>0</v>
      </c>
      <c r="O17" s="19" t="b">
        <v>0</v>
      </c>
      <c r="P17" s="33"/>
      <c r="Q17" s="33"/>
      <c r="R17" s="33"/>
      <c r="S17" s="33"/>
      <c r="T17" s="33"/>
      <c r="U17" s="7" t="str">
        <f>IFERROR(VLOOKUP(P17,Scoring!$C$7:$E$10,2,FALSE),"")</f>
        <v/>
      </c>
      <c r="V17" s="7" t="str">
        <f>IFERROR(VLOOKUP(Q17,Scoring!$C$12:$E$15,2,FALSE),"")</f>
        <v/>
      </c>
      <c r="W17" s="7" t="str">
        <f>IFERROR(VLOOKUP(R17,Scoring!$C$17:$E$20,2,FALSE),"")</f>
        <v/>
      </c>
      <c r="X17" s="7" t="str">
        <f>IFERROR(VLOOKUP(S17,Scoring!$C$22:$E$25,2,FALSE),"")</f>
        <v/>
      </c>
      <c r="Y17" s="7" t="str">
        <f>IFERROR(VLOOKUP(T17,Scoring!$C$27:$E$30,2,FALSE),"")</f>
        <v/>
      </c>
      <c r="Z17" s="7">
        <f t="shared" si="3"/>
        <v>0</v>
      </c>
      <c r="AA17" s="8" t="str">
        <f t="shared" si="4"/>
        <v>D</v>
      </c>
      <c r="AB17" s="8" t="str">
        <f t="shared" si="5"/>
        <v>Hold</v>
      </c>
    </row>
    <row r="18" spans="1:28">
      <c r="A18" s="33">
        <v>13</v>
      </c>
      <c r="B18" s="33"/>
      <c r="C18" s="33"/>
      <c r="D18" s="25"/>
      <c r="E18" s="33"/>
      <c r="F18" s="25"/>
      <c r="G18" s="33"/>
      <c r="H18" s="33"/>
      <c r="I18" s="25">
        <f t="shared" si="6"/>
        <v>0</v>
      </c>
      <c r="J18" s="33"/>
      <c r="K18" s="33"/>
      <c r="L18" s="33"/>
      <c r="M18" s="19" t="b">
        <v>0</v>
      </c>
      <c r="N18" s="19" t="b">
        <v>0</v>
      </c>
      <c r="O18" s="19" t="b">
        <v>0</v>
      </c>
      <c r="P18" s="33"/>
      <c r="Q18" s="33"/>
      <c r="R18" s="33"/>
      <c r="S18" s="33"/>
      <c r="T18" s="33"/>
      <c r="U18" s="7" t="str">
        <f>IFERROR(VLOOKUP(P18,Scoring!$C$7:$E$10,2,FALSE),"")</f>
        <v/>
      </c>
      <c r="V18" s="7" t="str">
        <f>IFERROR(VLOOKUP(Q18,Scoring!$C$12:$E$15,2,FALSE),"")</f>
        <v/>
      </c>
      <c r="W18" s="7" t="str">
        <f>IFERROR(VLOOKUP(R18,Scoring!$C$17:$E$20,2,FALSE),"")</f>
        <v/>
      </c>
      <c r="X18" s="7" t="str">
        <f>IFERROR(VLOOKUP(S18,Scoring!$C$22:$E$25,2,FALSE),"")</f>
        <v/>
      </c>
      <c r="Y18" s="7" t="str">
        <f>IFERROR(VLOOKUP(T18,Scoring!$C$27:$E$30,2,FALSE),"")</f>
        <v/>
      </c>
      <c r="Z18" s="7">
        <f t="shared" si="3"/>
        <v>0</v>
      </c>
      <c r="AA18" s="8" t="str">
        <f t="shared" si="4"/>
        <v>D</v>
      </c>
      <c r="AB18" s="8" t="str">
        <f t="shared" si="5"/>
        <v>Hold</v>
      </c>
    </row>
    <row r="19" spans="1:28">
      <c r="A19" s="33">
        <v>14</v>
      </c>
      <c r="B19" s="33"/>
      <c r="C19" s="33"/>
      <c r="D19" s="25"/>
      <c r="E19" s="33"/>
      <c r="F19" s="25"/>
      <c r="G19" s="33"/>
      <c r="H19" s="33"/>
      <c r="I19" s="25">
        <f t="shared" si="6"/>
        <v>0</v>
      </c>
      <c r="J19" s="33"/>
      <c r="K19" s="33"/>
      <c r="L19" s="33"/>
      <c r="M19" s="19" t="b">
        <v>0</v>
      </c>
      <c r="N19" s="19" t="b">
        <v>0</v>
      </c>
      <c r="O19" s="19" t="b">
        <v>0</v>
      </c>
      <c r="P19" s="33"/>
      <c r="Q19" s="33"/>
      <c r="R19" s="33"/>
      <c r="S19" s="33"/>
      <c r="T19" s="33"/>
      <c r="U19" s="7" t="str">
        <f>IFERROR(VLOOKUP(P19,Scoring!$C$7:$E$10,2,FALSE),"")</f>
        <v/>
      </c>
      <c r="V19" s="7" t="str">
        <f>IFERROR(VLOOKUP(Q19,Scoring!$C$12:$E$15,2,FALSE),"")</f>
        <v/>
      </c>
      <c r="W19" s="7" t="str">
        <f>IFERROR(VLOOKUP(R19,Scoring!$C$17:$E$20,2,FALSE),"")</f>
        <v/>
      </c>
      <c r="X19" s="7" t="str">
        <f>IFERROR(VLOOKUP(S19,Scoring!$C$22:$E$25,2,FALSE),"")</f>
        <v/>
      </c>
      <c r="Y19" s="7" t="str">
        <f>IFERROR(VLOOKUP(T19,Scoring!$C$27:$E$30,2,FALSE),"")</f>
        <v/>
      </c>
      <c r="Z19" s="7">
        <f t="shared" si="3"/>
        <v>0</v>
      </c>
      <c r="AA19" s="8" t="str">
        <f t="shared" si="4"/>
        <v>D</v>
      </c>
      <c r="AB19" s="8" t="str">
        <f t="shared" si="5"/>
        <v>Hold</v>
      </c>
    </row>
    <row r="20" spans="1:28">
      <c r="A20" s="33">
        <v>15</v>
      </c>
      <c r="B20" s="33"/>
      <c r="C20" s="33"/>
      <c r="D20" s="25"/>
      <c r="E20" s="33"/>
      <c r="F20" s="25"/>
      <c r="G20" s="33"/>
      <c r="H20" s="33"/>
      <c r="I20" s="25">
        <f t="shared" si="6"/>
        <v>0</v>
      </c>
      <c r="J20" s="33"/>
      <c r="K20" s="33"/>
      <c r="L20" s="33"/>
      <c r="M20" s="19" t="b">
        <v>0</v>
      </c>
      <c r="N20" s="19" t="b">
        <v>0</v>
      </c>
      <c r="O20" s="19" t="b">
        <v>0</v>
      </c>
      <c r="P20" s="33"/>
      <c r="Q20" s="33"/>
      <c r="R20" s="33"/>
      <c r="S20" s="33"/>
      <c r="T20" s="33"/>
      <c r="U20" s="7" t="str">
        <f>IFERROR(VLOOKUP(P20,Scoring!$C$7:$E$10,2,FALSE),"")</f>
        <v/>
      </c>
      <c r="V20" s="7" t="str">
        <f>IFERROR(VLOOKUP(Q20,Scoring!$C$12:$E$15,2,FALSE),"")</f>
        <v/>
      </c>
      <c r="W20" s="7" t="str">
        <f>IFERROR(VLOOKUP(R20,Scoring!$C$17:$E$20,2,FALSE),"")</f>
        <v/>
      </c>
      <c r="X20" s="7" t="str">
        <f>IFERROR(VLOOKUP(S20,Scoring!$C$22:$E$25,2,FALSE),"")</f>
        <v/>
      </c>
      <c r="Y20" s="7" t="str">
        <f>IFERROR(VLOOKUP(T20,Scoring!$C$27:$E$30,2,FALSE),"")</f>
        <v/>
      </c>
      <c r="Z20" s="7">
        <f t="shared" si="3"/>
        <v>0</v>
      </c>
      <c r="AA20" s="8" t="str">
        <f t="shared" si="4"/>
        <v>D</v>
      </c>
      <c r="AB20" s="8" t="str">
        <f t="shared" si="5"/>
        <v>Hold</v>
      </c>
    </row>
    <row r="21" spans="1:28">
      <c r="A21" s="33">
        <v>16</v>
      </c>
      <c r="B21" s="33"/>
      <c r="C21" s="33"/>
      <c r="D21" s="25"/>
      <c r="E21" s="33"/>
      <c r="F21" s="25"/>
      <c r="G21" s="33"/>
      <c r="H21" s="33"/>
      <c r="I21" s="25">
        <f t="shared" si="6"/>
        <v>0</v>
      </c>
      <c r="J21" s="33"/>
      <c r="K21" s="33"/>
      <c r="L21" s="33"/>
      <c r="M21" s="19" t="b">
        <v>0</v>
      </c>
      <c r="N21" s="19" t="b">
        <v>0</v>
      </c>
      <c r="O21" s="19" t="b">
        <v>0</v>
      </c>
      <c r="P21" s="33"/>
      <c r="Q21" s="33"/>
      <c r="R21" s="33"/>
      <c r="S21" s="33"/>
      <c r="T21" s="33"/>
      <c r="U21" s="7" t="str">
        <f>IFERROR(VLOOKUP(P21,Scoring!$C$7:$E$10,2,FALSE),"")</f>
        <v/>
      </c>
      <c r="V21" s="7" t="str">
        <f>IFERROR(VLOOKUP(Q21,Scoring!$C$12:$E$15,2,FALSE),"")</f>
        <v/>
      </c>
      <c r="W21" s="7" t="str">
        <f>IFERROR(VLOOKUP(R21,Scoring!$C$17:$E$20,2,FALSE),"")</f>
        <v/>
      </c>
      <c r="X21" s="7" t="str">
        <f>IFERROR(VLOOKUP(S21,Scoring!$C$22:$E$25,2,FALSE),"")</f>
        <v/>
      </c>
      <c r="Y21" s="7" t="str">
        <f>IFERROR(VLOOKUP(T21,Scoring!$C$27:$E$30,2,FALSE),"")</f>
        <v/>
      </c>
      <c r="Z21" s="7">
        <f t="shared" si="3"/>
        <v>0</v>
      </c>
      <c r="AA21" s="8" t="str">
        <f t="shared" si="4"/>
        <v>D</v>
      </c>
      <c r="AB21" s="8" t="str">
        <f t="shared" si="5"/>
        <v>Hold</v>
      </c>
    </row>
    <row r="22" spans="1:28">
      <c r="A22" s="33">
        <v>17</v>
      </c>
      <c r="B22" s="33"/>
      <c r="C22" s="33"/>
      <c r="D22" s="25"/>
      <c r="E22" s="33"/>
      <c r="F22" s="25"/>
      <c r="G22" s="33"/>
      <c r="H22" s="33"/>
      <c r="I22" s="25">
        <f t="shared" si="6"/>
        <v>0</v>
      </c>
      <c r="J22" s="33"/>
      <c r="K22" s="33"/>
      <c r="L22" s="33"/>
      <c r="M22" s="19" t="b">
        <v>0</v>
      </c>
      <c r="N22" s="19" t="b">
        <v>0</v>
      </c>
      <c r="O22" s="19" t="b">
        <v>0</v>
      </c>
      <c r="P22" s="33"/>
      <c r="Q22" s="33"/>
      <c r="R22" s="33"/>
      <c r="S22" s="33"/>
      <c r="T22" s="33"/>
      <c r="U22" s="7" t="str">
        <f>IFERROR(VLOOKUP(P22,Scoring!$C$7:$E$10,2,FALSE),"")</f>
        <v/>
      </c>
      <c r="V22" s="7" t="str">
        <f>IFERROR(VLOOKUP(Q22,Scoring!$C$12:$E$15,2,FALSE),"")</f>
        <v/>
      </c>
      <c r="W22" s="7" t="str">
        <f>IFERROR(VLOOKUP(R22,Scoring!$C$17:$E$20,2,FALSE),"")</f>
        <v/>
      </c>
      <c r="X22" s="7" t="str">
        <f>IFERROR(VLOOKUP(S22,Scoring!$C$22:$E$25,2,FALSE),"")</f>
        <v/>
      </c>
      <c r="Y22" s="7" t="str">
        <f>IFERROR(VLOOKUP(T22,Scoring!$C$27:$E$30,2,FALSE),"")</f>
        <v/>
      </c>
      <c r="Z22" s="7">
        <f t="shared" si="3"/>
        <v>0</v>
      </c>
      <c r="AA22" s="8" t="str">
        <f t="shared" si="4"/>
        <v>D</v>
      </c>
      <c r="AB22" s="8" t="str">
        <f t="shared" si="5"/>
        <v>Hold</v>
      </c>
    </row>
    <row r="23" spans="1:28">
      <c r="A23" s="33">
        <v>18</v>
      </c>
      <c r="B23" s="33"/>
      <c r="C23" s="33"/>
      <c r="D23" s="25"/>
      <c r="E23" s="33"/>
      <c r="F23" s="25"/>
      <c r="G23" s="33"/>
      <c r="H23" s="33"/>
      <c r="I23" s="25">
        <f t="shared" si="6"/>
        <v>0</v>
      </c>
      <c r="J23" s="33"/>
      <c r="K23" s="33"/>
      <c r="L23" s="33"/>
      <c r="M23" s="19" t="b">
        <v>0</v>
      </c>
      <c r="N23" s="19" t="b">
        <v>0</v>
      </c>
      <c r="O23" s="19" t="b">
        <v>0</v>
      </c>
      <c r="P23" s="33"/>
      <c r="Q23" s="33"/>
      <c r="R23" s="33"/>
      <c r="S23" s="33"/>
      <c r="T23" s="33"/>
      <c r="U23" s="7" t="str">
        <f>IFERROR(VLOOKUP(P23,Scoring!$C$7:$E$10,2,FALSE),"")</f>
        <v/>
      </c>
      <c r="V23" s="7" t="str">
        <f>IFERROR(VLOOKUP(Q23,Scoring!$C$12:$E$15,2,FALSE),"")</f>
        <v/>
      </c>
      <c r="W23" s="7" t="str">
        <f>IFERROR(VLOOKUP(R23,Scoring!$C$17:$E$20,2,FALSE),"")</f>
        <v/>
      </c>
      <c r="X23" s="7" t="str">
        <f>IFERROR(VLOOKUP(S23,Scoring!$C$22:$E$25,2,FALSE),"")</f>
        <v/>
      </c>
      <c r="Y23" s="7" t="str">
        <f>IFERROR(VLOOKUP(T23,Scoring!$C$27:$E$30,2,FALSE),"")</f>
        <v/>
      </c>
      <c r="Z23" s="7">
        <f t="shared" si="3"/>
        <v>0</v>
      </c>
      <c r="AA23" s="8" t="str">
        <f t="shared" si="4"/>
        <v>D</v>
      </c>
      <c r="AB23" s="8" t="str">
        <f t="shared" si="5"/>
        <v>Hold</v>
      </c>
    </row>
    <row r="24" spans="1:28">
      <c r="A24" s="33">
        <v>19</v>
      </c>
      <c r="B24" s="33"/>
      <c r="C24" s="33"/>
      <c r="D24" s="25"/>
      <c r="E24" s="33"/>
      <c r="F24" s="25"/>
      <c r="G24" s="33"/>
      <c r="H24" s="33"/>
      <c r="I24" s="25">
        <f t="shared" si="6"/>
        <v>0</v>
      </c>
      <c r="J24" s="33"/>
      <c r="K24" s="33"/>
      <c r="L24" s="33"/>
      <c r="M24" s="19" t="b">
        <v>0</v>
      </c>
      <c r="N24" s="19" t="b">
        <v>0</v>
      </c>
      <c r="O24" s="19" t="b">
        <v>0</v>
      </c>
      <c r="P24" s="33"/>
      <c r="Q24" s="33"/>
      <c r="R24" s="33"/>
      <c r="S24" s="33"/>
      <c r="T24" s="33"/>
      <c r="U24" s="7" t="str">
        <f>IFERROR(VLOOKUP(P24,Scoring!$C$7:$E$10,2,FALSE),"")</f>
        <v/>
      </c>
      <c r="V24" s="7" t="str">
        <f>IFERROR(VLOOKUP(Q24,Scoring!$C$12:$E$15,2,FALSE),"")</f>
        <v/>
      </c>
      <c r="W24" s="7" t="str">
        <f>IFERROR(VLOOKUP(R24,Scoring!$C$17:$E$20,2,FALSE),"")</f>
        <v/>
      </c>
      <c r="X24" s="7" t="str">
        <f>IFERROR(VLOOKUP(S24,Scoring!$C$22:$E$25,2,FALSE),"")</f>
        <v/>
      </c>
      <c r="Y24" s="7" t="str">
        <f>IFERROR(VLOOKUP(T24,Scoring!$C$27:$E$30,2,FALSE),"")</f>
        <v/>
      </c>
      <c r="Z24" s="7">
        <f t="shared" si="3"/>
        <v>0</v>
      </c>
      <c r="AA24" s="8" t="str">
        <f t="shared" si="4"/>
        <v>D</v>
      </c>
      <c r="AB24" s="8" t="str">
        <f t="shared" si="5"/>
        <v>Hold</v>
      </c>
    </row>
    <row r="25" spans="1:28">
      <c r="A25" s="33">
        <v>20</v>
      </c>
      <c r="B25" s="33"/>
      <c r="C25" s="33"/>
      <c r="D25" s="25"/>
      <c r="E25" s="33"/>
      <c r="F25" s="25"/>
      <c r="G25" s="33"/>
      <c r="H25" s="33"/>
      <c r="I25" s="25">
        <f t="shared" si="6"/>
        <v>0</v>
      </c>
      <c r="J25" s="33"/>
      <c r="K25" s="33"/>
      <c r="L25" s="33"/>
      <c r="M25" s="19" t="b">
        <v>0</v>
      </c>
      <c r="N25" s="19" t="b">
        <v>0</v>
      </c>
      <c r="O25" s="19" t="b">
        <v>0</v>
      </c>
      <c r="P25" s="33"/>
      <c r="Q25" s="33"/>
      <c r="R25" s="33"/>
      <c r="S25" s="33"/>
      <c r="T25" s="33"/>
      <c r="U25" s="7" t="str">
        <f>IFERROR(VLOOKUP(P25,Scoring!$C$7:$E$10,2,FALSE),"")</f>
        <v/>
      </c>
      <c r="V25" s="7" t="str">
        <f>IFERROR(VLOOKUP(Q25,Scoring!$C$12:$E$15,2,FALSE),"")</f>
        <v/>
      </c>
      <c r="W25" s="7" t="str">
        <f>IFERROR(VLOOKUP(R25,Scoring!$C$17:$E$20,2,FALSE),"")</f>
        <v/>
      </c>
      <c r="X25" s="7" t="str">
        <f>IFERROR(VLOOKUP(S25,Scoring!$C$22:$E$25,2,FALSE),"")</f>
        <v/>
      </c>
      <c r="Y25" s="7" t="str">
        <f>IFERROR(VLOOKUP(T25,Scoring!$C$27:$E$30,2,FALSE),"")</f>
        <v/>
      </c>
      <c r="Z25" s="7">
        <f t="shared" si="3"/>
        <v>0</v>
      </c>
      <c r="AA25" s="8" t="str">
        <f t="shared" si="4"/>
        <v>D</v>
      </c>
      <c r="AB25" s="8" t="str">
        <f t="shared" si="5"/>
        <v>Hold</v>
      </c>
    </row>
    <row r="26" spans="1:28">
      <c r="A26" s="33">
        <v>21</v>
      </c>
      <c r="B26" s="33"/>
      <c r="C26" s="33"/>
      <c r="D26" s="25"/>
      <c r="E26" s="33"/>
      <c r="F26" s="25"/>
      <c r="G26" s="33"/>
      <c r="H26" s="33"/>
      <c r="I26" s="25">
        <f t="shared" si="6"/>
        <v>0</v>
      </c>
      <c r="J26" s="33"/>
      <c r="K26" s="33"/>
      <c r="L26" s="33"/>
      <c r="M26" s="19" t="b">
        <v>0</v>
      </c>
      <c r="N26" s="19" t="b">
        <v>0</v>
      </c>
      <c r="O26" s="19" t="b">
        <v>0</v>
      </c>
      <c r="P26" s="33"/>
      <c r="Q26" s="33"/>
      <c r="R26" s="33"/>
      <c r="S26" s="33"/>
      <c r="T26" s="33"/>
      <c r="U26" s="7" t="str">
        <f>IFERROR(VLOOKUP(P26,Scoring!$C$7:$E$10,2,FALSE),"")</f>
        <v/>
      </c>
      <c r="V26" s="7" t="str">
        <f>IFERROR(VLOOKUP(Q26,Scoring!$C$12:$E$15,2,FALSE),"")</f>
        <v/>
      </c>
      <c r="W26" s="7" t="str">
        <f>IFERROR(VLOOKUP(R26,Scoring!$C$17:$E$20,2,FALSE),"")</f>
        <v/>
      </c>
      <c r="X26" s="7" t="str">
        <f>IFERROR(VLOOKUP(S26,Scoring!$C$22:$E$25,2,FALSE),"")</f>
        <v/>
      </c>
      <c r="Y26" s="7" t="str">
        <f>IFERROR(VLOOKUP(T26,Scoring!$C$27:$E$30,2,FALSE),"")</f>
        <v/>
      </c>
      <c r="Z26" s="7">
        <f t="shared" si="3"/>
        <v>0</v>
      </c>
      <c r="AA26" s="8" t="str">
        <f t="shared" si="4"/>
        <v>D</v>
      </c>
      <c r="AB26" s="8" t="str">
        <f t="shared" si="5"/>
        <v>Hold</v>
      </c>
    </row>
    <row r="27" spans="1:28">
      <c r="A27" s="33">
        <v>22</v>
      </c>
      <c r="B27" s="33"/>
      <c r="C27" s="33"/>
      <c r="D27" s="25"/>
      <c r="E27" s="33"/>
      <c r="F27" s="25"/>
      <c r="G27" s="33"/>
      <c r="H27" s="33"/>
      <c r="I27" s="25">
        <f t="shared" si="6"/>
        <v>0</v>
      </c>
      <c r="J27" s="33"/>
      <c r="K27" s="33"/>
      <c r="L27" s="33"/>
      <c r="M27" s="19" t="b">
        <v>0</v>
      </c>
      <c r="N27" s="19" t="b">
        <v>0</v>
      </c>
      <c r="O27" s="19" t="b">
        <v>0</v>
      </c>
      <c r="P27" s="33"/>
      <c r="Q27" s="33"/>
      <c r="R27" s="33"/>
      <c r="S27" s="33"/>
      <c r="T27" s="33"/>
      <c r="U27" s="7" t="str">
        <f>IFERROR(VLOOKUP(P27,Scoring!$C$7:$E$10,2,FALSE),"")</f>
        <v/>
      </c>
      <c r="V27" s="7" t="str">
        <f>IFERROR(VLOOKUP(Q27,Scoring!$C$12:$E$15,2,FALSE),"")</f>
        <v/>
      </c>
      <c r="W27" s="7" t="str">
        <f>IFERROR(VLOOKUP(R27,Scoring!$C$17:$E$20,2,FALSE),"")</f>
        <v/>
      </c>
      <c r="X27" s="7" t="str">
        <f>IFERROR(VLOOKUP(S27,Scoring!$C$22:$E$25,2,FALSE),"")</f>
        <v/>
      </c>
      <c r="Y27" s="7" t="str">
        <f>IFERROR(VLOOKUP(T27,Scoring!$C$27:$E$30,2,FALSE),"")</f>
        <v/>
      </c>
      <c r="Z27" s="7">
        <f t="shared" si="3"/>
        <v>0</v>
      </c>
      <c r="AA27" s="8" t="str">
        <f t="shared" si="4"/>
        <v>D</v>
      </c>
      <c r="AB27" s="8" t="str">
        <f t="shared" si="5"/>
        <v>Hold</v>
      </c>
    </row>
    <row r="28" spans="1:28">
      <c r="A28" s="33">
        <v>23</v>
      </c>
      <c r="B28" s="33"/>
      <c r="C28" s="33"/>
      <c r="D28" s="25"/>
      <c r="E28" s="33"/>
      <c r="F28" s="25"/>
      <c r="G28" s="33"/>
      <c r="H28" s="33"/>
      <c r="I28" s="25">
        <f t="shared" si="6"/>
        <v>0</v>
      </c>
      <c r="J28" s="33"/>
      <c r="K28" s="33"/>
      <c r="L28" s="33"/>
      <c r="M28" s="19" t="b">
        <v>0</v>
      </c>
      <c r="N28" s="19" t="b">
        <v>0</v>
      </c>
      <c r="O28" s="19" t="b">
        <v>0</v>
      </c>
      <c r="P28" s="33"/>
      <c r="Q28" s="33"/>
      <c r="R28" s="33"/>
      <c r="S28" s="33"/>
      <c r="T28" s="33"/>
      <c r="U28" s="7" t="str">
        <f>IFERROR(VLOOKUP(P28,Scoring!$C$7:$E$10,2,FALSE),"")</f>
        <v/>
      </c>
      <c r="V28" s="7" t="str">
        <f>IFERROR(VLOOKUP(Q28,Scoring!$C$12:$E$15,2,FALSE),"")</f>
        <v/>
      </c>
      <c r="W28" s="7" t="str">
        <f>IFERROR(VLOOKUP(R28,Scoring!$C$17:$E$20,2,FALSE),"")</f>
        <v/>
      </c>
      <c r="X28" s="7" t="str">
        <f>IFERROR(VLOOKUP(S28,Scoring!$C$22:$E$25,2,FALSE),"")</f>
        <v/>
      </c>
      <c r="Y28" s="7" t="str">
        <f>IFERROR(VLOOKUP(T28,Scoring!$C$27:$E$30,2,FALSE),"")</f>
        <v/>
      </c>
      <c r="Z28" s="7">
        <f t="shared" si="3"/>
        <v>0</v>
      </c>
      <c r="AA28" s="8" t="str">
        <f t="shared" si="4"/>
        <v>D</v>
      </c>
      <c r="AB28" s="8" t="str">
        <f t="shared" si="5"/>
        <v>Hold</v>
      </c>
    </row>
    <row r="29" spans="1:28">
      <c r="A29" s="33">
        <v>24</v>
      </c>
      <c r="B29" s="33"/>
      <c r="C29" s="33"/>
      <c r="D29" s="25"/>
      <c r="E29" s="33"/>
      <c r="F29" s="25"/>
      <c r="G29" s="33"/>
      <c r="H29" s="33"/>
      <c r="I29" s="25">
        <f t="shared" si="6"/>
        <v>0</v>
      </c>
      <c r="J29" s="33"/>
      <c r="K29" s="33"/>
      <c r="L29" s="33"/>
      <c r="M29" s="19" t="b">
        <v>0</v>
      </c>
      <c r="N29" s="19" t="b">
        <v>0</v>
      </c>
      <c r="O29" s="19" t="b">
        <v>0</v>
      </c>
      <c r="P29" s="33"/>
      <c r="Q29" s="33"/>
      <c r="R29" s="33"/>
      <c r="S29" s="33"/>
      <c r="T29" s="33"/>
      <c r="U29" s="7" t="str">
        <f>IFERROR(VLOOKUP(P29,Scoring!$C$7:$E$10,2,FALSE),"")</f>
        <v/>
      </c>
      <c r="V29" s="7" t="str">
        <f>IFERROR(VLOOKUP(Q29,Scoring!$C$12:$E$15,2,FALSE),"")</f>
        <v/>
      </c>
      <c r="W29" s="7" t="str">
        <f>IFERROR(VLOOKUP(R29,Scoring!$C$17:$E$20,2,FALSE),"")</f>
        <v/>
      </c>
      <c r="X29" s="7" t="str">
        <f>IFERROR(VLOOKUP(S29,Scoring!$C$22:$E$25,2,FALSE),"")</f>
        <v/>
      </c>
      <c r="Y29" s="7" t="str">
        <f>IFERROR(VLOOKUP(T29,Scoring!$C$27:$E$30,2,FALSE),"")</f>
        <v/>
      </c>
      <c r="Z29" s="7">
        <f t="shared" si="3"/>
        <v>0</v>
      </c>
      <c r="AA29" s="8" t="str">
        <f t="shared" si="4"/>
        <v>D</v>
      </c>
      <c r="AB29" s="8" t="str">
        <f t="shared" si="5"/>
        <v>Hold</v>
      </c>
    </row>
    <row r="30" spans="1:28">
      <c r="A30" s="33">
        <v>25</v>
      </c>
      <c r="B30" s="33"/>
      <c r="C30" s="33"/>
      <c r="D30" s="25"/>
      <c r="E30" s="33"/>
      <c r="F30" s="25"/>
      <c r="G30" s="33"/>
      <c r="H30" s="33"/>
      <c r="I30" s="25">
        <f t="shared" si="6"/>
        <v>0</v>
      </c>
      <c r="J30" s="33"/>
      <c r="K30" s="33"/>
      <c r="L30" s="33"/>
      <c r="M30" s="19" t="b">
        <v>0</v>
      </c>
      <c r="N30" s="19" t="b">
        <v>0</v>
      </c>
      <c r="O30" s="19" t="b">
        <v>0</v>
      </c>
      <c r="P30" s="33"/>
      <c r="Q30" s="33"/>
      <c r="R30" s="33"/>
      <c r="S30" s="33"/>
      <c r="T30" s="33"/>
      <c r="U30" s="7" t="str">
        <f>IFERROR(VLOOKUP(P30,Scoring!$C$7:$E$10,2,FALSE),"")</f>
        <v/>
      </c>
      <c r="V30" s="7" t="str">
        <f>IFERROR(VLOOKUP(Q30,Scoring!$C$12:$E$15,2,FALSE),"")</f>
        <v/>
      </c>
      <c r="W30" s="7" t="str">
        <f>IFERROR(VLOOKUP(R30,Scoring!$C$17:$E$20,2,FALSE),"")</f>
        <v/>
      </c>
      <c r="X30" s="7" t="str">
        <f>IFERROR(VLOOKUP(S30,Scoring!$C$22:$E$25,2,FALSE),"")</f>
        <v/>
      </c>
      <c r="Y30" s="7" t="str">
        <f>IFERROR(VLOOKUP(T30,Scoring!$C$27:$E$30,2,FALSE),"")</f>
        <v/>
      </c>
      <c r="Z30" s="7">
        <f t="shared" si="3"/>
        <v>0</v>
      </c>
      <c r="AA30" s="8" t="str">
        <f t="shared" si="4"/>
        <v>D</v>
      </c>
      <c r="AB30" s="8" t="str">
        <f t="shared" si="5"/>
        <v>Hold</v>
      </c>
    </row>
    <row r="31" spans="1:28">
      <c r="A31" s="33">
        <v>26</v>
      </c>
      <c r="B31" s="33"/>
      <c r="C31" s="33"/>
      <c r="D31" s="25"/>
      <c r="E31" s="33"/>
      <c r="F31" s="25"/>
      <c r="G31" s="33"/>
      <c r="H31" s="33"/>
      <c r="I31" s="25">
        <f t="shared" si="6"/>
        <v>0</v>
      </c>
      <c r="J31" s="33"/>
      <c r="K31" s="33"/>
      <c r="L31" s="33"/>
      <c r="M31" s="19" t="b">
        <v>0</v>
      </c>
      <c r="N31" s="19" t="b">
        <v>0</v>
      </c>
      <c r="O31" s="19" t="b">
        <v>0</v>
      </c>
      <c r="P31" s="33"/>
      <c r="Q31" s="33"/>
      <c r="R31" s="33"/>
      <c r="S31" s="33"/>
      <c r="T31" s="33"/>
      <c r="U31" s="7" t="str">
        <f>IFERROR(VLOOKUP(P31,Scoring!$C$7:$E$10,2,FALSE),"")</f>
        <v/>
      </c>
      <c r="V31" s="7" t="str">
        <f>IFERROR(VLOOKUP(Q31,Scoring!$C$12:$E$15,2,FALSE),"")</f>
        <v/>
      </c>
      <c r="W31" s="7" t="str">
        <f>IFERROR(VLOOKUP(R31,Scoring!$C$17:$E$20,2,FALSE),"")</f>
        <v/>
      </c>
      <c r="X31" s="7" t="str">
        <f>IFERROR(VLOOKUP(S31,Scoring!$C$22:$E$25,2,FALSE),"")</f>
        <v/>
      </c>
      <c r="Y31" s="7" t="str">
        <f>IFERROR(VLOOKUP(T31,Scoring!$C$27:$E$30,2,FALSE),"")</f>
        <v/>
      </c>
      <c r="Z31" s="7">
        <f t="shared" si="3"/>
        <v>0</v>
      </c>
      <c r="AA31" s="8" t="str">
        <f t="shared" si="4"/>
        <v>D</v>
      </c>
      <c r="AB31" s="8" t="str">
        <f t="shared" si="5"/>
        <v>Hold</v>
      </c>
    </row>
    <row r="32" spans="1:28">
      <c r="A32" s="33">
        <v>27</v>
      </c>
      <c r="B32" s="33"/>
      <c r="C32" s="33"/>
      <c r="D32" s="25"/>
      <c r="E32" s="33"/>
      <c r="F32" s="25"/>
      <c r="G32" s="33"/>
      <c r="H32" s="33"/>
      <c r="I32" s="25">
        <f t="shared" si="6"/>
        <v>0</v>
      </c>
      <c r="J32" s="33"/>
      <c r="K32" s="33"/>
      <c r="L32" s="33"/>
      <c r="M32" s="19" t="b">
        <v>0</v>
      </c>
      <c r="N32" s="19" t="b">
        <v>0</v>
      </c>
      <c r="O32" s="19" t="b">
        <v>0</v>
      </c>
      <c r="P32" s="33"/>
      <c r="Q32" s="33"/>
      <c r="R32" s="33"/>
      <c r="S32" s="33"/>
      <c r="T32" s="33"/>
      <c r="U32" s="7" t="str">
        <f>IFERROR(VLOOKUP(P32,Scoring!$C$7:$E$10,2,FALSE),"")</f>
        <v/>
      </c>
      <c r="V32" s="7" t="str">
        <f>IFERROR(VLOOKUP(Q32,Scoring!$C$12:$E$15,2,FALSE),"")</f>
        <v/>
      </c>
      <c r="W32" s="7" t="str">
        <f>IFERROR(VLOOKUP(R32,Scoring!$C$17:$E$20,2,FALSE),"")</f>
        <v/>
      </c>
      <c r="X32" s="7" t="str">
        <f>IFERROR(VLOOKUP(S32,Scoring!$C$22:$E$25,2,FALSE),"")</f>
        <v/>
      </c>
      <c r="Y32" s="7" t="str">
        <f>IFERROR(VLOOKUP(T32,Scoring!$C$27:$E$30,2,FALSE),"")</f>
        <v/>
      </c>
      <c r="Z32" s="7">
        <f t="shared" si="3"/>
        <v>0</v>
      </c>
      <c r="AA32" s="8" t="str">
        <f t="shared" si="4"/>
        <v>D</v>
      </c>
      <c r="AB32" s="8" t="str">
        <f t="shared" si="5"/>
        <v>Hold</v>
      </c>
    </row>
    <row r="33" spans="1:28">
      <c r="A33" s="33">
        <v>28</v>
      </c>
      <c r="B33" s="33"/>
      <c r="C33" s="33"/>
      <c r="D33" s="25"/>
      <c r="E33" s="33"/>
      <c r="F33" s="25"/>
      <c r="G33" s="33"/>
      <c r="H33" s="33"/>
      <c r="I33" s="25">
        <f t="shared" si="6"/>
        <v>0</v>
      </c>
      <c r="J33" s="33"/>
      <c r="K33" s="33"/>
      <c r="L33" s="33"/>
      <c r="M33" s="19" t="b">
        <v>0</v>
      </c>
      <c r="N33" s="19" t="b">
        <v>0</v>
      </c>
      <c r="O33" s="19" t="b">
        <v>0</v>
      </c>
      <c r="P33" s="33"/>
      <c r="Q33" s="33"/>
      <c r="R33" s="33"/>
      <c r="S33" s="33"/>
      <c r="T33" s="33"/>
      <c r="U33" s="7" t="str">
        <f>IFERROR(VLOOKUP(P33,Scoring!$C$7:$E$10,2,FALSE),"")</f>
        <v/>
      </c>
      <c r="V33" s="7" t="str">
        <f>IFERROR(VLOOKUP(Q33,Scoring!$C$12:$E$15,2,FALSE),"")</f>
        <v/>
      </c>
      <c r="W33" s="7" t="str">
        <f>IFERROR(VLOOKUP(R33,Scoring!$C$17:$E$20,2,FALSE),"")</f>
        <v/>
      </c>
      <c r="X33" s="7" t="str">
        <f>IFERROR(VLOOKUP(S33,Scoring!$C$22:$E$25,2,FALSE),"")</f>
        <v/>
      </c>
      <c r="Y33" s="7" t="str">
        <f>IFERROR(VLOOKUP(T33,Scoring!$C$27:$E$30,2,FALSE),"")</f>
        <v/>
      </c>
      <c r="Z33" s="7">
        <f t="shared" si="3"/>
        <v>0</v>
      </c>
      <c r="AA33" s="8" t="str">
        <f t="shared" si="4"/>
        <v>D</v>
      </c>
      <c r="AB33" s="8" t="str">
        <f t="shared" si="5"/>
        <v>Hold</v>
      </c>
    </row>
    <row r="34" spans="1:28">
      <c r="A34" s="33">
        <v>29</v>
      </c>
      <c r="B34" s="33"/>
      <c r="C34" s="33"/>
      <c r="D34" s="25"/>
      <c r="E34" s="33"/>
      <c r="F34" s="25"/>
      <c r="G34" s="33"/>
      <c r="H34" s="33"/>
      <c r="I34" s="25">
        <f t="shared" si="6"/>
        <v>0</v>
      </c>
      <c r="J34" s="33"/>
      <c r="K34" s="33"/>
      <c r="L34" s="33"/>
      <c r="M34" s="19" t="b">
        <v>0</v>
      </c>
      <c r="N34" s="19" t="b">
        <v>0</v>
      </c>
      <c r="O34" s="19" t="b">
        <v>0</v>
      </c>
      <c r="P34" s="33"/>
      <c r="Q34" s="33"/>
      <c r="R34" s="33"/>
      <c r="S34" s="33"/>
      <c r="T34" s="33"/>
      <c r="U34" s="7" t="str">
        <f>IFERROR(VLOOKUP(P34,Scoring!$C$7:$E$10,2,FALSE),"")</f>
        <v/>
      </c>
      <c r="V34" s="7" t="str">
        <f>IFERROR(VLOOKUP(Q34,Scoring!$C$12:$E$15,2,FALSE),"")</f>
        <v/>
      </c>
      <c r="W34" s="7" t="str">
        <f>IFERROR(VLOOKUP(R34,Scoring!$C$17:$E$20,2,FALSE),"")</f>
        <v/>
      </c>
      <c r="X34" s="7" t="str">
        <f>IFERROR(VLOOKUP(S34,Scoring!$C$22:$E$25,2,FALSE),"")</f>
        <v/>
      </c>
      <c r="Y34" s="7" t="str">
        <f>IFERROR(VLOOKUP(T34,Scoring!$C$27:$E$30,2,FALSE),"")</f>
        <v/>
      </c>
      <c r="Z34" s="7">
        <f t="shared" si="3"/>
        <v>0</v>
      </c>
      <c r="AA34" s="8" t="str">
        <f t="shared" si="4"/>
        <v>D</v>
      </c>
      <c r="AB34" s="8" t="str">
        <f t="shared" si="5"/>
        <v>Hold</v>
      </c>
    </row>
    <row r="35" spans="1:28">
      <c r="A35" s="33">
        <v>30</v>
      </c>
      <c r="B35" s="33"/>
      <c r="C35" s="33"/>
      <c r="D35" s="25"/>
      <c r="E35" s="33"/>
      <c r="F35" s="25"/>
      <c r="G35" s="33"/>
      <c r="H35" s="33"/>
      <c r="I35" s="25">
        <f t="shared" si="6"/>
        <v>0</v>
      </c>
      <c r="J35" s="33"/>
      <c r="K35" s="33"/>
      <c r="L35" s="33"/>
      <c r="M35" s="19" t="b">
        <v>0</v>
      </c>
      <c r="N35" s="19" t="b">
        <v>0</v>
      </c>
      <c r="O35" s="19" t="b">
        <v>0</v>
      </c>
      <c r="P35" s="33"/>
      <c r="Q35" s="33"/>
      <c r="R35" s="33"/>
      <c r="S35" s="33"/>
      <c r="T35" s="33"/>
      <c r="U35" s="7" t="str">
        <f>IFERROR(VLOOKUP(P35,Scoring!$C$7:$E$10,2,FALSE),"")</f>
        <v/>
      </c>
      <c r="V35" s="7" t="str">
        <f>IFERROR(VLOOKUP(Q35,Scoring!$C$12:$E$15,2,FALSE),"")</f>
        <v/>
      </c>
      <c r="W35" s="7" t="str">
        <f>IFERROR(VLOOKUP(R35,Scoring!$C$17:$E$20,2,FALSE),"")</f>
        <v/>
      </c>
      <c r="X35" s="7" t="str">
        <f>IFERROR(VLOOKUP(S35,Scoring!$C$22:$E$25,2,FALSE),"")</f>
        <v/>
      </c>
      <c r="Y35" s="7" t="str">
        <f>IFERROR(VLOOKUP(T35,Scoring!$C$27:$E$30,2,FALSE),"")</f>
        <v/>
      </c>
      <c r="Z35" s="7">
        <f t="shared" si="3"/>
        <v>0</v>
      </c>
      <c r="AA35" s="8" t="str">
        <f t="shared" si="4"/>
        <v>D</v>
      </c>
      <c r="AB35" s="8" t="str">
        <f t="shared" si="5"/>
        <v>Hold</v>
      </c>
    </row>
    <row r="36" spans="1:28">
      <c r="A36" s="33">
        <v>31</v>
      </c>
      <c r="B36" s="33"/>
      <c r="C36" s="33"/>
      <c r="D36" s="25"/>
      <c r="E36" s="33"/>
      <c r="F36" s="25"/>
      <c r="G36" s="33"/>
      <c r="H36" s="33"/>
      <c r="I36" s="25">
        <f t="shared" si="6"/>
        <v>0</v>
      </c>
      <c r="J36" s="33"/>
      <c r="K36" s="33"/>
      <c r="L36" s="33"/>
      <c r="M36" s="19" t="b">
        <v>0</v>
      </c>
      <c r="N36" s="19" t="b">
        <v>0</v>
      </c>
      <c r="O36" s="19" t="b">
        <v>0</v>
      </c>
      <c r="P36" s="33"/>
      <c r="Q36" s="33"/>
      <c r="R36" s="33"/>
      <c r="S36" s="33"/>
      <c r="T36" s="33"/>
      <c r="U36" s="7" t="str">
        <f>IFERROR(VLOOKUP(P36,Scoring!$C$7:$E$10,2,FALSE),"")</f>
        <v/>
      </c>
      <c r="V36" s="7" t="str">
        <f>IFERROR(VLOOKUP(Q36,Scoring!$C$12:$E$15,2,FALSE),"")</f>
        <v/>
      </c>
      <c r="W36" s="7" t="str">
        <f>IFERROR(VLOOKUP(R36,Scoring!$C$17:$E$20,2,FALSE),"")</f>
        <v/>
      </c>
      <c r="X36" s="7" t="str">
        <f>IFERROR(VLOOKUP(S36,Scoring!$C$22:$E$25,2,FALSE),"")</f>
        <v/>
      </c>
      <c r="Y36" s="7" t="str">
        <f>IFERROR(VLOOKUP(T36,Scoring!$C$27:$E$30,2,FALSE),"")</f>
        <v/>
      </c>
      <c r="Z36" s="7">
        <f t="shared" si="3"/>
        <v>0</v>
      </c>
      <c r="AA36" s="8" t="str">
        <f t="shared" si="4"/>
        <v>D</v>
      </c>
      <c r="AB36" s="8" t="str">
        <f t="shared" si="5"/>
        <v>Hold</v>
      </c>
    </row>
    <row r="37" spans="1:28">
      <c r="A37" s="33">
        <v>32</v>
      </c>
      <c r="B37" s="33"/>
      <c r="C37" s="33"/>
      <c r="D37" s="25"/>
      <c r="E37" s="33"/>
      <c r="F37" s="25"/>
      <c r="G37" s="33"/>
      <c r="H37" s="33"/>
      <c r="I37" s="25">
        <f t="shared" si="6"/>
        <v>0</v>
      </c>
      <c r="J37" s="33"/>
      <c r="K37" s="33"/>
      <c r="L37" s="33"/>
      <c r="M37" s="19" t="b">
        <v>0</v>
      </c>
      <c r="N37" s="19" t="b">
        <v>0</v>
      </c>
      <c r="O37" s="19" t="b">
        <v>0</v>
      </c>
      <c r="P37" s="33"/>
      <c r="Q37" s="33"/>
      <c r="R37" s="33"/>
      <c r="S37" s="33"/>
      <c r="T37" s="33"/>
      <c r="U37" s="7" t="str">
        <f>IFERROR(VLOOKUP(P37,Scoring!$C$7:$E$10,2,FALSE),"")</f>
        <v/>
      </c>
      <c r="V37" s="7" t="str">
        <f>IFERROR(VLOOKUP(Q37,Scoring!$C$12:$E$15,2,FALSE),"")</f>
        <v/>
      </c>
      <c r="W37" s="7" t="str">
        <f>IFERROR(VLOOKUP(R37,Scoring!$C$17:$E$20,2,FALSE),"")</f>
        <v/>
      </c>
      <c r="X37" s="7" t="str">
        <f>IFERROR(VLOOKUP(S37,Scoring!$C$22:$E$25,2,FALSE),"")</f>
        <v/>
      </c>
      <c r="Y37" s="7" t="str">
        <f>IFERROR(VLOOKUP(T37,Scoring!$C$27:$E$30,2,FALSE),"")</f>
        <v/>
      </c>
      <c r="Z37" s="7">
        <f t="shared" si="3"/>
        <v>0</v>
      </c>
      <c r="AA37" s="8" t="str">
        <f t="shared" si="4"/>
        <v>D</v>
      </c>
      <c r="AB37" s="8" t="str">
        <f t="shared" si="5"/>
        <v>Hold</v>
      </c>
    </row>
    <row r="38" spans="1:28">
      <c r="A38" s="33">
        <v>33</v>
      </c>
      <c r="B38" s="33"/>
      <c r="C38" s="33"/>
      <c r="D38" s="25"/>
      <c r="E38" s="33"/>
      <c r="F38" s="25"/>
      <c r="G38" s="33"/>
      <c r="H38" s="33"/>
      <c r="I38" s="25">
        <f t="shared" si="6"/>
        <v>0</v>
      </c>
      <c r="J38" s="33"/>
      <c r="K38" s="33"/>
      <c r="L38" s="33"/>
      <c r="M38" s="19" t="b">
        <v>0</v>
      </c>
      <c r="N38" s="19" t="b">
        <v>0</v>
      </c>
      <c r="O38" s="19" t="b">
        <v>0</v>
      </c>
      <c r="P38" s="33"/>
      <c r="Q38" s="33"/>
      <c r="R38" s="33"/>
      <c r="S38" s="33"/>
      <c r="T38" s="33"/>
      <c r="U38" s="7" t="str">
        <f>IFERROR(VLOOKUP(P38,Scoring!$C$7:$E$10,2,FALSE),"")</f>
        <v/>
      </c>
      <c r="V38" s="7" t="str">
        <f>IFERROR(VLOOKUP(Q38,Scoring!$C$12:$E$15,2,FALSE),"")</f>
        <v/>
      </c>
      <c r="W38" s="7" t="str">
        <f>IFERROR(VLOOKUP(R38,Scoring!$C$17:$E$20,2,FALSE),"")</f>
        <v/>
      </c>
      <c r="X38" s="7" t="str">
        <f>IFERROR(VLOOKUP(S38,Scoring!$C$22:$E$25,2,FALSE),"")</f>
        <v/>
      </c>
      <c r="Y38" s="7" t="str">
        <f>IFERROR(VLOOKUP(T38,Scoring!$C$27:$E$30,2,FALSE),"")</f>
        <v/>
      </c>
      <c r="Z38" s="7">
        <f t="shared" si="3"/>
        <v>0</v>
      </c>
      <c r="AA38" s="8" t="str">
        <f t="shared" si="4"/>
        <v>D</v>
      </c>
      <c r="AB38" s="8" t="str">
        <f t="shared" si="5"/>
        <v>Hold</v>
      </c>
    </row>
    <row r="39" spans="1:28">
      <c r="A39" s="33">
        <v>34</v>
      </c>
      <c r="B39" s="33"/>
      <c r="C39" s="33"/>
      <c r="D39" s="25"/>
      <c r="E39" s="33"/>
      <c r="F39" s="25"/>
      <c r="G39" s="33"/>
      <c r="H39" s="33"/>
      <c r="I39" s="25">
        <f t="shared" si="6"/>
        <v>0</v>
      </c>
      <c r="J39" s="33"/>
      <c r="K39" s="33"/>
      <c r="L39" s="33"/>
      <c r="M39" s="19" t="b">
        <v>0</v>
      </c>
      <c r="N39" s="19" t="b">
        <v>0</v>
      </c>
      <c r="O39" s="19" t="b">
        <v>0</v>
      </c>
      <c r="P39" s="33"/>
      <c r="Q39" s="33"/>
      <c r="R39" s="33"/>
      <c r="S39" s="33"/>
      <c r="T39" s="33"/>
      <c r="U39" s="7" t="str">
        <f>IFERROR(VLOOKUP(P39,Scoring!$C$7:$E$10,2,FALSE),"")</f>
        <v/>
      </c>
      <c r="V39" s="7" t="str">
        <f>IFERROR(VLOOKUP(Q39,Scoring!$C$12:$E$15,2,FALSE),"")</f>
        <v/>
      </c>
      <c r="W39" s="7" t="str">
        <f>IFERROR(VLOOKUP(R39,Scoring!$C$17:$E$20,2,FALSE),"")</f>
        <v/>
      </c>
      <c r="X39" s="7" t="str">
        <f>IFERROR(VLOOKUP(S39,Scoring!$C$22:$E$25,2,FALSE),"")</f>
        <v/>
      </c>
      <c r="Y39" s="7" t="str">
        <f>IFERROR(VLOOKUP(T39,Scoring!$C$27:$E$30,2,FALSE),"")</f>
        <v/>
      </c>
      <c r="Z39" s="7">
        <f t="shared" si="3"/>
        <v>0</v>
      </c>
      <c r="AA39" s="8" t="str">
        <f t="shared" si="4"/>
        <v>D</v>
      </c>
      <c r="AB39" s="8" t="str">
        <f t="shared" si="5"/>
        <v>Hold</v>
      </c>
    </row>
    <row r="40" spans="1:28">
      <c r="A40" s="33">
        <v>35</v>
      </c>
      <c r="B40" s="33"/>
      <c r="C40" s="33"/>
      <c r="D40" s="25"/>
      <c r="E40" s="33"/>
      <c r="F40" s="25"/>
      <c r="G40" s="33"/>
      <c r="H40" s="33"/>
      <c r="I40" s="25">
        <f t="shared" si="6"/>
        <v>0</v>
      </c>
      <c r="J40" s="33"/>
      <c r="K40" s="33"/>
      <c r="L40" s="33"/>
      <c r="M40" s="19" t="b">
        <v>0</v>
      </c>
      <c r="N40" s="19" t="b">
        <v>0</v>
      </c>
      <c r="O40" s="19" t="b">
        <v>0</v>
      </c>
      <c r="P40" s="33"/>
      <c r="Q40" s="33"/>
      <c r="R40" s="33"/>
      <c r="S40" s="33"/>
      <c r="T40" s="33"/>
      <c r="U40" s="7" t="str">
        <f>IFERROR(VLOOKUP(P40,Scoring!$C$7:$E$10,2,FALSE),"")</f>
        <v/>
      </c>
      <c r="V40" s="7" t="str">
        <f>IFERROR(VLOOKUP(Q40,Scoring!$C$12:$E$15,2,FALSE),"")</f>
        <v/>
      </c>
      <c r="W40" s="7" t="str">
        <f>IFERROR(VLOOKUP(R40,Scoring!$C$17:$E$20,2,FALSE),"")</f>
        <v/>
      </c>
      <c r="X40" s="7" t="str">
        <f>IFERROR(VLOOKUP(S40,Scoring!$C$22:$E$25,2,FALSE),"")</f>
        <v/>
      </c>
      <c r="Y40" s="7" t="str">
        <f>IFERROR(VLOOKUP(T40,Scoring!$C$27:$E$30,2,FALSE),"")</f>
        <v/>
      </c>
      <c r="Z40" s="7">
        <f t="shared" si="3"/>
        <v>0</v>
      </c>
      <c r="AA40" s="8" t="str">
        <f t="shared" si="4"/>
        <v>D</v>
      </c>
      <c r="AB40" s="8" t="str">
        <f t="shared" si="5"/>
        <v>Hold</v>
      </c>
    </row>
    <row r="41" spans="1:28">
      <c r="A41" s="33">
        <v>36</v>
      </c>
      <c r="B41" s="33"/>
      <c r="C41" s="33"/>
      <c r="D41" s="25"/>
      <c r="E41" s="33"/>
      <c r="F41" s="25"/>
      <c r="G41" s="33"/>
      <c r="H41" s="33"/>
      <c r="I41" s="25">
        <f t="shared" si="6"/>
        <v>0</v>
      </c>
      <c r="J41" s="33"/>
      <c r="K41" s="33"/>
      <c r="L41" s="33"/>
      <c r="M41" s="19" t="b">
        <v>0</v>
      </c>
      <c r="N41" s="19" t="b">
        <v>0</v>
      </c>
      <c r="O41" s="19" t="b">
        <v>0</v>
      </c>
      <c r="P41" s="33"/>
      <c r="Q41" s="33"/>
      <c r="R41" s="33"/>
      <c r="S41" s="33"/>
      <c r="T41" s="33"/>
      <c r="U41" s="7" t="str">
        <f>IFERROR(VLOOKUP(P41,Scoring!$C$7:$E$10,2,FALSE),"")</f>
        <v/>
      </c>
      <c r="V41" s="7" t="str">
        <f>IFERROR(VLOOKUP(Q41,Scoring!$C$12:$E$15,2,FALSE),"")</f>
        <v/>
      </c>
      <c r="W41" s="7" t="str">
        <f>IFERROR(VLOOKUP(R41,Scoring!$C$17:$E$20,2,FALSE),"")</f>
        <v/>
      </c>
      <c r="X41" s="7" t="str">
        <f>IFERROR(VLOOKUP(S41,Scoring!$C$22:$E$25,2,FALSE),"")</f>
        <v/>
      </c>
      <c r="Y41" s="7" t="str">
        <f>IFERROR(VLOOKUP(T41,Scoring!$C$27:$E$30,2,FALSE),"")</f>
        <v/>
      </c>
      <c r="Z41" s="7">
        <f t="shared" si="3"/>
        <v>0</v>
      </c>
      <c r="AA41" s="8" t="str">
        <f t="shared" si="4"/>
        <v>D</v>
      </c>
      <c r="AB41" s="8" t="str">
        <f t="shared" si="5"/>
        <v>Hold</v>
      </c>
    </row>
    <row r="42" spans="1:28">
      <c r="A42" s="33">
        <v>37</v>
      </c>
      <c r="B42" s="33"/>
      <c r="C42" s="33"/>
      <c r="D42" s="25"/>
      <c r="E42" s="33"/>
      <c r="F42" s="25"/>
      <c r="G42" s="33"/>
      <c r="H42" s="33"/>
      <c r="I42" s="25">
        <f t="shared" si="6"/>
        <v>0</v>
      </c>
      <c r="J42" s="33"/>
      <c r="K42" s="33"/>
      <c r="L42" s="33"/>
      <c r="M42" s="19" t="b">
        <v>0</v>
      </c>
      <c r="N42" s="19" t="b">
        <v>0</v>
      </c>
      <c r="O42" s="19" t="b">
        <v>0</v>
      </c>
      <c r="P42" s="33"/>
      <c r="Q42" s="33"/>
      <c r="R42" s="33"/>
      <c r="S42" s="33"/>
      <c r="T42" s="33"/>
      <c r="U42" s="7" t="str">
        <f>IFERROR(VLOOKUP(P42,Scoring!$C$7:$E$10,2,FALSE),"")</f>
        <v/>
      </c>
      <c r="V42" s="7" t="str">
        <f>IFERROR(VLOOKUP(Q42,Scoring!$C$12:$E$15,2,FALSE),"")</f>
        <v/>
      </c>
      <c r="W42" s="7" t="str">
        <f>IFERROR(VLOOKUP(R42,Scoring!$C$17:$E$20,2,FALSE),"")</f>
        <v/>
      </c>
      <c r="X42" s="7" t="str">
        <f>IFERROR(VLOOKUP(S42,Scoring!$C$22:$E$25,2,FALSE),"")</f>
        <v/>
      </c>
      <c r="Y42" s="7" t="str">
        <f>IFERROR(VLOOKUP(T42,Scoring!$C$27:$E$30,2,FALSE),"")</f>
        <v/>
      </c>
      <c r="Z42" s="7">
        <f t="shared" si="3"/>
        <v>0</v>
      </c>
      <c r="AA42" s="8" t="str">
        <f t="shared" si="4"/>
        <v>D</v>
      </c>
      <c r="AB42" s="8" t="str">
        <f t="shared" si="5"/>
        <v>Hold</v>
      </c>
    </row>
    <row r="43" spans="1:28">
      <c r="A43" s="33">
        <v>38</v>
      </c>
      <c r="B43" s="33"/>
      <c r="C43" s="33"/>
      <c r="D43" s="25"/>
      <c r="E43" s="33"/>
      <c r="F43" s="25"/>
      <c r="G43" s="33"/>
      <c r="H43" s="33"/>
      <c r="I43" s="25">
        <f t="shared" si="6"/>
        <v>0</v>
      </c>
      <c r="J43" s="33"/>
      <c r="K43" s="33"/>
      <c r="L43" s="33"/>
      <c r="M43" s="19" t="b">
        <v>0</v>
      </c>
      <c r="N43" s="19" t="b">
        <v>0</v>
      </c>
      <c r="O43" s="19" t="b">
        <v>0</v>
      </c>
      <c r="P43" s="33"/>
      <c r="Q43" s="33"/>
      <c r="R43" s="33"/>
      <c r="S43" s="33"/>
      <c r="T43" s="33"/>
      <c r="U43" s="7" t="str">
        <f>IFERROR(VLOOKUP(P43,Scoring!$C$7:$E$10,2,FALSE),"")</f>
        <v/>
      </c>
      <c r="V43" s="7" t="str">
        <f>IFERROR(VLOOKUP(Q43,Scoring!$C$12:$E$15,2,FALSE),"")</f>
        <v/>
      </c>
      <c r="W43" s="7" t="str">
        <f>IFERROR(VLOOKUP(R43,Scoring!$C$17:$E$20,2,FALSE),"")</f>
        <v/>
      </c>
      <c r="X43" s="7" t="str">
        <f>IFERROR(VLOOKUP(S43,Scoring!$C$22:$E$25,2,FALSE),"")</f>
        <v/>
      </c>
      <c r="Y43" s="7" t="str">
        <f>IFERROR(VLOOKUP(T43,Scoring!$C$27:$E$30,2,FALSE),"")</f>
        <v/>
      </c>
      <c r="Z43" s="7">
        <f t="shared" si="3"/>
        <v>0</v>
      </c>
      <c r="AA43" s="8" t="str">
        <f t="shared" si="4"/>
        <v>D</v>
      </c>
      <c r="AB43" s="8" t="str">
        <f t="shared" si="5"/>
        <v>Hold</v>
      </c>
    </row>
    <row r="44" spans="1:28">
      <c r="A44" s="33">
        <v>39</v>
      </c>
      <c r="B44" s="33"/>
      <c r="C44" s="33"/>
      <c r="D44" s="25"/>
      <c r="E44" s="33"/>
      <c r="F44" s="25"/>
      <c r="G44" s="33"/>
      <c r="H44" s="33"/>
      <c r="I44" s="25">
        <f t="shared" si="6"/>
        <v>0</v>
      </c>
      <c r="J44" s="33"/>
      <c r="K44" s="33"/>
      <c r="L44" s="33"/>
      <c r="M44" s="19" t="b">
        <v>0</v>
      </c>
      <c r="N44" s="19" t="b">
        <v>0</v>
      </c>
      <c r="O44" s="19" t="b">
        <v>0</v>
      </c>
      <c r="P44" s="33"/>
      <c r="Q44" s="33"/>
      <c r="R44" s="33"/>
      <c r="S44" s="33"/>
      <c r="T44" s="33"/>
      <c r="U44" s="7" t="str">
        <f>IFERROR(VLOOKUP(P44,Scoring!$C$7:$E$10,2,FALSE),"")</f>
        <v/>
      </c>
      <c r="V44" s="7" t="str">
        <f>IFERROR(VLOOKUP(Q44,Scoring!$C$12:$E$15,2,FALSE),"")</f>
        <v/>
      </c>
      <c r="W44" s="7" t="str">
        <f>IFERROR(VLOOKUP(R44,Scoring!$C$17:$E$20,2,FALSE),"")</f>
        <v/>
      </c>
      <c r="X44" s="7" t="str">
        <f>IFERROR(VLOOKUP(S44,Scoring!$C$22:$E$25,2,FALSE),"")</f>
        <v/>
      </c>
      <c r="Y44" s="7" t="str">
        <f>IFERROR(VLOOKUP(T44,Scoring!$C$27:$E$30,2,FALSE),"")</f>
        <v/>
      </c>
      <c r="Z44" s="7">
        <f t="shared" si="3"/>
        <v>0</v>
      </c>
      <c r="AA44" s="8" t="str">
        <f t="shared" si="4"/>
        <v>D</v>
      </c>
      <c r="AB44" s="8" t="str">
        <f t="shared" si="5"/>
        <v>Hold</v>
      </c>
    </row>
    <row r="45" spans="1:28">
      <c r="A45" s="33">
        <v>40</v>
      </c>
      <c r="B45" s="33"/>
      <c r="C45" s="33"/>
      <c r="D45" s="25"/>
      <c r="E45" s="33"/>
      <c r="F45" s="25"/>
      <c r="G45" s="33"/>
      <c r="H45" s="33"/>
      <c r="I45" s="25">
        <f t="shared" si="6"/>
        <v>0</v>
      </c>
      <c r="J45" s="33"/>
      <c r="K45" s="33"/>
      <c r="L45" s="33"/>
      <c r="M45" s="19" t="b">
        <v>0</v>
      </c>
      <c r="N45" s="19" t="b">
        <v>0</v>
      </c>
      <c r="O45" s="19" t="b">
        <v>0</v>
      </c>
      <c r="P45" s="33"/>
      <c r="Q45" s="33"/>
      <c r="R45" s="33"/>
      <c r="S45" s="33"/>
      <c r="T45" s="33"/>
      <c r="U45" s="7" t="str">
        <f>IFERROR(VLOOKUP(P45,Scoring!$C$7:$E$10,2,FALSE),"")</f>
        <v/>
      </c>
      <c r="V45" s="7" t="str">
        <f>IFERROR(VLOOKUP(Q45,Scoring!$C$12:$E$15,2,FALSE),"")</f>
        <v/>
      </c>
      <c r="W45" s="7" t="str">
        <f>IFERROR(VLOOKUP(R45,Scoring!$C$17:$E$20,2,FALSE),"")</f>
        <v/>
      </c>
      <c r="X45" s="7" t="str">
        <f>IFERROR(VLOOKUP(S45,Scoring!$C$22:$E$25,2,FALSE),"")</f>
        <v/>
      </c>
      <c r="Y45" s="7" t="str">
        <f>IFERROR(VLOOKUP(T45,Scoring!$C$27:$E$30,2,FALSE),"")</f>
        <v/>
      </c>
      <c r="Z45" s="7">
        <f t="shared" si="3"/>
        <v>0</v>
      </c>
      <c r="AA45" s="8" t="str">
        <f t="shared" si="4"/>
        <v>D</v>
      </c>
      <c r="AB45" s="8" t="str">
        <f t="shared" si="5"/>
        <v>Hold</v>
      </c>
    </row>
    <row r="46" spans="1:28">
      <c r="A46" s="33">
        <v>41</v>
      </c>
      <c r="B46" s="33"/>
      <c r="C46" s="33"/>
      <c r="D46" s="25"/>
      <c r="E46" s="33"/>
      <c r="F46" s="25"/>
      <c r="G46" s="33"/>
      <c r="H46" s="33"/>
      <c r="I46" s="25">
        <f t="shared" si="6"/>
        <v>0</v>
      </c>
      <c r="J46" s="33"/>
      <c r="K46" s="33"/>
      <c r="L46" s="33"/>
      <c r="M46" s="19" t="b">
        <v>0</v>
      </c>
      <c r="N46" s="19" t="b">
        <v>0</v>
      </c>
      <c r="O46" s="19" t="b">
        <v>0</v>
      </c>
      <c r="P46" s="33"/>
      <c r="Q46" s="33"/>
      <c r="R46" s="33"/>
      <c r="S46" s="33"/>
      <c r="T46" s="33"/>
      <c r="U46" s="7" t="str">
        <f>IFERROR(VLOOKUP(P46,Scoring!$C$7:$E$10,2,FALSE),"")</f>
        <v/>
      </c>
      <c r="V46" s="7" t="str">
        <f>IFERROR(VLOOKUP(Q46,Scoring!$C$12:$E$15,2,FALSE),"")</f>
        <v/>
      </c>
      <c r="W46" s="7" t="str">
        <f>IFERROR(VLOOKUP(R46,Scoring!$C$17:$E$20,2,FALSE),"")</f>
        <v/>
      </c>
      <c r="X46" s="7" t="str">
        <f>IFERROR(VLOOKUP(S46,Scoring!$C$22:$E$25,2,FALSE),"")</f>
        <v/>
      </c>
      <c r="Y46" s="7" t="str">
        <f>IFERROR(VLOOKUP(T46,Scoring!$C$27:$E$30,2,FALSE),"")</f>
        <v/>
      </c>
      <c r="Z46" s="7">
        <f t="shared" si="3"/>
        <v>0</v>
      </c>
      <c r="AA46" s="8" t="str">
        <f t="shared" si="4"/>
        <v>D</v>
      </c>
      <c r="AB46" s="8" t="str">
        <f t="shared" si="5"/>
        <v>Hold</v>
      </c>
    </row>
    <row r="47" spans="1:28">
      <c r="A47" s="33">
        <v>42</v>
      </c>
      <c r="B47" s="33"/>
      <c r="C47" s="33"/>
      <c r="D47" s="25"/>
      <c r="E47" s="33"/>
      <c r="F47" s="25"/>
      <c r="G47" s="33"/>
      <c r="H47" s="33"/>
      <c r="I47" s="25">
        <f t="shared" si="6"/>
        <v>0</v>
      </c>
      <c r="J47" s="33"/>
      <c r="K47" s="33"/>
      <c r="L47" s="33"/>
      <c r="M47" s="19" t="b">
        <v>0</v>
      </c>
      <c r="N47" s="19" t="b">
        <v>0</v>
      </c>
      <c r="O47" s="19" t="b">
        <v>0</v>
      </c>
      <c r="P47" s="33"/>
      <c r="Q47" s="33"/>
      <c r="R47" s="33"/>
      <c r="S47" s="33"/>
      <c r="T47" s="33"/>
      <c r="U47" s="7" t="str">
        <f>IFERROR(VLOOKUP(P47,Scoring!$C$7:$E$10,2,FALSE),"")</f>
        <v/>
      </c>
      <c r="V47" s="7" t="str">
        <f>IFERROR(VLOOKUP(Q47,Scoring!$C$12:$E$15,2,FALSE),"")</f>
        <v/>
      </c>
      <c r="W47" s="7" t="str">
        <f>IFERROR(VLOOKUP(R47,Scoring!$C$17:$E$20,2,FALSE),"")</f>
        <v/>
      </c>
      <c r="X47" s="7" t="str">
        <f>IFERROR(VLOOKUP(S47,Scoring!$C$22:$E$25,2,FALSE),"")</f>
        <v/>
      </c>
      <c r="Y47" s="7" t="str">
        <f>IFERROR(VLOOKUP(T47,Scoring!$C$27:$E$30,2,FALSE),"")</f>
        <v/>
      </c>
      <c r="Z47" s="7">
        <f t="shared" si="3"/>
        <v>0</v>
      </c>
      <c r="AA47" s="8" t="str">
        <f t="shared" si="4"/>
        <v>D</v>
      </c>
      <c r="AB47" s="8" t="str">
        <f t="shared" si="5"/>
        <v>Hold</v>
      </c>
    </row>
    <row r="48" spans="1:28">
      <c r="A48" s="33">
        <v>43</v>
      </c>
      <c r="B48" s="33"/>
      <c r="C48" s="33"/>
      <c r="D48" s="25"/>
      <c r="E48" s="33"/>
      <c r="F48" s="25"/>
      <c r="G48" s="33"/>
      <c r="H48" s="33"/>
      <c r="I48" s="25">
        <f t="shared" si="6"/>
        <v>0</v>
      </c>
      <c r="J48" s="33"/>
      <c r="K48" s="33"/>
      <c r="L48" s="33"/>
      <c r="M48" s="19" t="b">
        <v>0</v>
      </c>
      <c r="N48" s="19" t="b">
        <v>0</v>
      </c>
      <c r="O48" s="19" t="b">
        <v>0</v>
      </c>
      <c r="P48" s="33"/>
      <c r="Q48" s="33"/>
      <c r="R48" s="33"/>
      <c r="S48" s="33"/>
      <c r="T48" s="33"/>
      <c r="U48" s="7" t="str">
        <f>IFERROR(VLOOKUP(P48,Scoring!$C$7:$E$10,2,FALSE),"")</f>
        <v/>
      </c>
      <c r="V48" s="7" t="str">
        <f>IFERROR(VLOOKUP(Q48,Scoring!$C$12:$E$15,2,FALSE),"")</f>
        <v/>
      </c>
      <c r="W48" s="7" t="str">
        <f>IFERROR(VLOOKUP(R48,Scoring!$C$17:$E$20,2,FALSE),"")</f>
        <v/>
      </c>
      <c r="X48" s="7" t="str">
        <f>IFERROR(VLOOKUP(S48,Scoring!$C$22:$E$25,2,FALSE),"")</f>
        <v/>
      </c>
      <c r="Y48" s="7" t="str">
        <f>IFERROR(VLOOKUP(T48,Scoring!$C$27:$E$30,2,FALSE),"")</f>
        <v/>
      </c>
      <c r="Z48" s="7">
        <f t="shared" si="3"/>
        <v>0</v>
      </c>
      <c r="AA48" s="8" t="str">
        <f t="shared" si="4"/>
        <v>D</v>
      </c>
      <c r="AB48" s="8" t="str">
        <f t="shared" si="5"/>
        <v>Hold</v>
      </c>
    </row>
    <row r="49" spans="1:28">
      <c r="A49" s="33">
        <v>44</v>
      </c>
      <c r="B49" s="33"/>
      <c r="C49" s="33"/>
      <c r="D49" s="25"/>
      <c r="E49" s="33"/>
      <c r="F49" s="25"/>
      <c r="G49" s="33"/>
      <c r="H49" s="33"/>
      <c r="I49" s="25">
        <f t="shared" si="6"/>
        <v>0</v>
      </c>
      <c r="J49" s="33"/>
      <c r="K49" s="33"/>
      <c r="L49" s="33"/>
      <c r="M49" s="19" t="b">
        <v>0</v>
      </c>
      <c r="N49" s="19" t="b">
        <v>0</v>
      </c>
      <c r="O49" s="19" t="b">
        <v>0</v>
      </c>
      <c r="P49" s="33"/>
      <c r="Q49" s="33"/>
      <c r="R49" s="33"/>
      <c r="S49" s="33"/>
      <c r="T49" s="33"/>
      <c r="U49" s="7" t="str">
        <f>IFERROR(VLOOKUP(P49,Scoring!$C$7:$E$10,2,FALSE),"")</f>
        <v/>
      </c>
      <c r="V49" s="7" t="str">
        <f>IFERROR(VLOOKUP(Q49,Scoring!$C$12:$E$15,2,FALSE),"")</f>
        <v/>
      </c>
      <c r="W49" s="7" t="str">
        <f>IFERROR(VLOOKUP(R49,Scoring!$C$17:$E$20,2,FALSE),"")</f>
        <v/>
      </c>
      <c r="X49" s="7" t="str">
        <f>IFERROR(VLOOKUP(S49,Scoring!$C$22:$E$25,2,FALSE),"")</f>
        <v/>
      </c>
      <c r="Y49" s="7" t="str">
        <f>IFERROR(VLOOKUP(T49,Scoring!$C$27:$E$30,2,FALSE),"")</f>
        <v/>
      </c>
      <c r="Z49" s="7">
        <f t="shared" si="3"/>
        <v>0</v>
      </c>
      <c r="AA49" s="8" t="str">
        <f t="shared" si="4"/>
        <v>D</v>
      </c>
      <c r="AB49" s="8" t="str">
        <f t="shared" si="5"/>
        <v>Hold</v>
      </c>
    </row>
    <row r="50" spans="1:28">
      <c r="A50" s="33">
        <v>45</v>
      </c>
      <c r="B50" s="33"/>
      <c r="C50" s="33"/>
      <c r="D50" s="25"/>
      <c r="E50" s="33"/>
      <c r="F50" s="25"/>
      <c r="G50" s="33"/>
      <c r="H50" s="33"/>
      <c r="I50" s="25">
        <f t="shared" si="6"/>
        <v>0</v>
      </c>
      <c r="J50" s="33"/>
      <c r="K50" s="33"/>
      <c r="L50" s="33"/>
      <c r="M50" s="19" t="b">
        <v>0</v>
      </c>
      <c r="N50" s="19" t="b">
        <v>0</v>
      </c>
      <c r="O50" s="19" t="b">
        <v>0</v>
      </c>
      <c r="P50" s="33"/>
      <c r="Q50" s="33"/>
      <c r="R50" s="33"/>
      <c r="S50" s="33"/>
      <c r="T50" s="33"/>
      <c r="U50" s="7" t="str">
        <f>IFERROR(VLOOKUP(P50,Scoring!$C$7:$E$10,2,FALSE),"")</f>
        <v/>
      </c>
      <c r="V50" s="7" t="str">
        <f>IFERROR(VLOOKUP(Q50,Scoring!$C$12:$E$15,2,FALSE),"")</f>
        <v/>
      </c>
      <c r="W50" s="7" t="str">
        <f>IFERROR(VLOOKUP(R50,Scoring!$C$17:$E$20,2,FALSE),"")</f>
        <v/>
      </c>
      <c r="X50" s="7" t="str">
        <f>IFERROR(VLOOKUP(S50,Scoring!$C$22:$E$25,2,FALSE),"")</f>
        <v/>
      </c>
      <c r="Y50" s="7" t="str">
        <f>IFERROR(VLOOKUP(T50,Scoring!$C$27:$E$30,2,FALSE),"")</f>
        <v/>
      </c>
      <c r="Z50" s="7">
        <f t="shared" si="3"/>
        <v>0</v>
      </c>
      <c r="AA50" s="8" t="str">
        <f t="shared" si="4"/>
        <v>D</v>
      </c>
      <c r="AB50" s="8" t="str">
        <f t="shared" si="5"/>
        <v>Hold</v>
      </c>
    </row>
    <row r="51" spans="1:28">
      <c r="A51" s="33">
        <v>46</v>
      </c>
      <c r="B51" s="33"/>
      <c r="C51" s="33"/>
      <c r="D51" s="25"/>
      <c r="E51" s="33"/>
      <c r="F51" s="25"/>
      <c r="G51" s="33"/>
      <c r="H51" s="33"/>
      <c r="I51" s="25">
        <f t="shared" si="6"/>
        <v>0</v>
      </c>
      <c r="J51" s="33"/>
      <c r="K51" s="33"/>
      <c r="L51" s="33"/>
      <c r="M51" s="19" t="b">
        <v>0</v>
      </c>
      <c r="N51" s="19" t="b">
        <v>0</v>
      </c>
      <c r="O51" s="19" t="b">
        <v>0</v>
      </c>
      <c r="P51" s="33"/>
      <c r="Q51" s="33"/>
      <c r="R51" s="33"/>
      <c r="S51" s="33"/>
      <c r="T51" s="33"/>
      <c r="U51" s="7" t="str">
        <f>IFERROR(VLOOKUP(P51,Scoring!$C$7:$E$10,2,FALSE),"")</f>
        <v/>
      </c>
      <c r="V51" s="7" t="str">
        <f>IFERROR(VLOOKUP(Q51,Scoring!$C$12:$E$15,2,FALSE),"")</f>
        <v/>
      </c>
      <c r="W51" s="7" t="str">
        <f>IFERROR(VLOOKUP(R51,Scoring!$C$17:$E$20,2,FALSE),"")</f>
        <v/>
      </c>
      <c r="X51" s="7" t="str">
        <f>IFERROR(VLOOKUP(S51,Scoring!$C$22:$E$25,2,FALSE),"")</f>
        <v/>
      </c>
      <c r="Y51" s="7" t="str">
        <f>IFERROR(VLOOKUP(T51,Scoring!$C$27:$E$30,2,FALSE),"")</f>
        <v/>
      </c>
      <c r="Z51" s="7">
        <f t="shared" si="3"/>
        <v>0</v>
      </c>
      <c r="AA51" s="8" t="str">
        <f t="shared" si="4"/>
        <v>D</v>
      </c>
      <c r="AB51" s="8" t="str">
        <f t="shared" si="5"/>
        <v>Hold</v>
      </c>
    </row>
    <row r="52" spans="1:28">
      <c r="A52" s="33">
        <v>47</v>
      </c>
      <c r="B52" s="33"/>
      <c r="C52" s="33"/>
      <c r="D52" s="25"/>
      <c r="E52" s="33"/>
      <c r="F52" s="25"/>
      <c r="G52" s="33"/>
      <c r="H52" s="33"/>
      <c r="I52" s="25">
        <f t="shared" si="6"/>
        <v>0</v>
      </c>
      <c r="J52" s="33"/>
      <c r="K52" s="33"/>
      <c r="L52" s="33"/>
      <c r="M52" s="19" t="b">
        <v>0</v>
      </c>
      <c r="N52" s="19" t="b">
        <v>0</v>
      </c>
      <c r="O52" s="19" t="b">
        <v>0</v>
      </c>
      <c r="P52" s="33"/>
      <c r="Q52" s="33"/>
      <c r="R52" s="33"/>
      <c r="S52" s="33"/>
      <c r="T52" s="33"/>
      <c r="U52" s="7" t="str">
        <f>IFERROR(VLOOKUP(P52,Scoring!$C$7:$E$10,2,FALSE),"")</f>
        <v/>
      </c>
      <c r="V52" s="7" t="str">
        <f>IFERROR(VLOOKUP(Q52,Scoring!$C$12:$E$15,2,FALSE),"")</f>
        <v/>
      </c>
      <c r="W52" s="7" t="str">
        <f>IFERROR(VLOOKUP(R52,Scoring!$C$17:$E$20,2,FALSE),"")</f>
        <v/>
      </c>
      <c r="X52" s="7" t="str">
        <f>IFERROR(VLOOKUP(S52,Scoring!$C$22:$E$25,2,FALSE),"")</f>
        <v/>
      </c>
      <c r="Y52" s="7" t="str">
        <f>IFERROR(VLOOKUP(T52,Scoring!$C$27:$E$30,2,FALSE),"")</f>
        <v/>
      </c>
      <c r="Z52" s="7">
        <f t="shared" si="3"/>
        <v>0</v>
      </c>
      <c r="AA52" s="8" t="str">
        <f t="shared" si="4"/>
        <v>D</v>
      </c>
      <c r="AB52" s="8" t="str">
        <f t="shared" si="5"/>
        <v>Hold</v>
      </c>
    </row>
    <row r="53" spans="1:28">
      <c r="A53" s="33">
        <v>48</v>
      </c>
      <c r="B53" s="33"/>
      <c r="C53" s="33"/>
      <c r="D53" s="25"/>
      <c r="E53" s="33"/>
      <c r="F53" s="25"/>
      <c r="G53" s="33"/>
      <c r="H53" s="33"/>
      <c r="I53" s="25">
        <f t="shared" si="6"/>
        <v>0</v>
      </c>
      <c r="J53" s="33"/>
      <c r="K53" s="33"/>
      <c r="L53" s="33"/>
      <c r="M53" s="19" t="b">
        <v>0</v>
      </c>
      <c r="N53" s="19" t="b">
        <v>0</v>
      </c>
      <c r="O53" s="19" t="b">
        <v>0</v>
      </c>
      <c r="P53" s="33"/>
      <c r="Q53" s="33"/>
      <c r="R53" s="33"/>
      <c r="S53" s="33"/>
      <c r="T53" s="33"/>
      <c r="U53" s="7" t="str">
        <f>IFERROR(VLOOKUP(P53,Scoring!$C$7:$E$10,2,FALSE),"")</f>
        <v/>
      </c>
      <c r="V53" s="7" t="str">
        <f>IFERROR(VLOOKUP(Q53,Scoring!$C$12:$E$15,2,FALSE),"")</f>
        <v/>
      </c>
      <c r="W53" s="7" t="str">
        <f>IFERROR(VLOOKUP(R53,Scoring!$C$17:$E$20,2,FALSE),"")</f>
        <v/>
      </c>
      <c r="X53" s="7" t="str">
        <f>IFERROR(VLOOKUP(S53,Scoring!$C$22:$E$25,2,FALSE),"")</f>
        <v/>
      </c>
      <c r="Y53" s="7" t="str">
        <f>IFERROR(VLOOKUP(T53,Scoring!$C$27:$E$30,2,FALSE),"")</f>
        <v/>
      </c>
      <c r="Z53" s="7">
        <f t="shared" si="3"/>
        <v>0</v>
      </c>
      <c r="AA53" s="8" t="str">
        <f t="shared" si="4"/>
        <v>D</v>
      </c>
      <c r="AB53" s="8" t="str">
        <f t="shared" si="5"/>
        <v>Hold</v>
      </c>
    </row>
    <row r="54" spans="1:28">
      <c r="A54" s="33">
        <v>49</v>
      </c>
      <c r="B54" s="33"/>
      <c r="C54" s="33"/>
      <c r="D54" s="25"/>
      <c r="E54" s="33"/>
      <c r="F54" s="25"/>
      <c r="G54" s="33"/>
      <c r="H54" s="33"/>
      <c r="I54" s="25">
        <f t="shared" si="6"/>
        <v>0</v>
      </c>
      <c r="J54" s="33"/>
      <c r="K54" s="33"/>
      <c r="L54" s="33"/>
      <c r="M54" s="19" t="b">
        <v>0</v>
      </c>
      <c r="N54" s="19" t="b">
        <v>0</v>
      </c>
      <c r="O54" s="19" t="b">
        <v>0</v>
      </c>
      <c r="P54" s="33"/>
      <c r="Q54" s="33"/>
      <c r="R54" s="33"/>
      <c r="S54" s="33"/>
      <c r="T54" s="33"/>
      <c r="U54" s="7" t="str">
        <f>IFERROR(VLOOKUP(P54,Scoring!$C$7:$E$10,2,FALSE),"")</f>
        <v/>
      </c>
      <c r="V54" s="7" t="str">
        <f>IFERROR(VLOOKUP(Q54,Scoring!$C$12:$E$15,2,FALSE),"")</f>
        <v/>
      </c>
      <c r="W54" s="7" t="str">
        <f>IFERROR(VLOOKUP(R54,Scoring!$C$17:$E$20,2,FALSE),"")</f>
        <v/>
      </c>
      <c r="X54" s="7" t="str">
        <f>IFERROR(VLOOKUP(S54,Scoring!$C$22:$E$25,2,FALSE),"")</f>
        <v/>
      </c>
      <c r="Y54" s="7" t="str">
        <f>IFERROR(VLOOKUP(T54,Scoring!$C$27:$E$30,2,FALSE),"")</f>
        <v/>
      </c>
      <c r="Z54" s="7">
        <f t="shared" si="3"/>
        <v>0</v>
      </c>
      <c r="AA54" s="8" t="str">
        <f t="shared" si="4"/>
        <v>D</v>
      </c>
      <c r="AB54" s="8" t="str">
        <f t="shared" si="5"/>
        <v>Hold</v>
      </c>
    </row>
    <row r="55" spans="1:28">
      <c r="A55" s="33">
        <v>50</v>
      </c>
      <c r="B55" s="33"/>
      <c r="C55" s="33"/>
      <c r="D55" s="25"/>
      <c r="E55" s="33"/>
      <c r="F55" s="25"/>
      <c r="G55" s="33"/>
      <c r="H55" s="33"/>
      <c r="I55" s="25">
        <f t="shared" si="6"/>
        <v>0</v>
      </c>
      <c r="J55" s="33"/>
      <c r="K55" s="33"/>
      <c r="L55" s="33"/>
      <c r="M55" s="19" t="b">
        <v>0</v>
      </c>
      <c r="N55" s="19" t="b">
        <v>0</v>
      </c>
      <c r="O55" s="19" t="b">
        <v>0</v>
      </c>
      <c r="P55" s="33"/>
      <c r="Q55" s="33"/>
      <c r="R55" s="33"/>
      <c r="S55" s="33"/>
      <c r="T55" s="33"/>
      <c r="U55" s="7" t="str">
        <f>IFERROR(VLOOKUP(P55,Scoring!$C$7:$E$10,2,FALSE),"")</f>
        <v/>
      </c>
      <c r="V55" s="7" t="str">
        <f>IFERROR(VLOOKUP(Q55,Scoring!$C$12:$E$15,2,FALSE),"")</f>
        <v/>
      </c>
      <c r="W55" s="7" t="str">
        <f>IFERROR(VLOOKUP(R55,Scoring!$C$17:$E$20,2,FALSE),"")</f>
        <v/>
      </c>
      <c r="X55" s="7" t="str">
        <f>IFERROR(VLOOKUP(S55,Scoring!$C$22:$E$25,2,FALSE),"")</f>
        <v/>
      </c>
      <c r="Y55" s="7" t="str">
        <f>IFERROR(VLOOKUP(T55,Scoring!$C$27:$E$30,2,FALSE),"")</f>
        <v/>
      </c>
      <c r="Z55" s="7">
        <f t="shared" si="3"/>
        <v>0</v>
      </c>
      <c r="AA55" s="8" t="str">
        <f t="shared" si="4"/>
        <v>D</v>
      </c>
      <c r="AB55" s="8" t="str">
        <f t="shared" si="5"/>
        <v>Hold</v>
      </c>
    </row>
    <row r="56" spans="1:28">
      <c r="A56" s="33">
        <v>51</v>
      </c>
      <c r="B56" s="33"/>
      <c r="C56" s="33"/>
      <c r="D56" s="25"/>
      <c r="E56" s="33"/>
      <c r="F56" s="25"/>
      <c r="G56" s="33"/>
      <c r="H56" s="33"/>
      <c r="I56" s="25">
        <f t="shared" si="6"/>
        <v>0</v>
      </c>
      <c r="J56" s="33"/>
      <c r="K56" s="33"/>
      <c r="L56" s="33"/>
      <c r="M56" s="19" t="b">
        <v>0</v>
      </c>
      <c r="N56" s="19" t="b">
        <v>0</v>
      </c>
      <c r="O56" s="19" t="b">
        <v>0</v>
      </c>
      <c r="P56" s="33"/>
      <c r="Q56" s="33"/>
      <c r="R56" s="33"/>
      <c r="S56" s="33"/>
      <c r="T56" s="33"/>
      <c r="U56" s="7" t="str">
        <f>IFERROR(VLOOKUP(P56,Scoring!$C$7:$E$10,2,FALSE),"")</f>
        <v/>
      </c>
      <c r="V56" s="7" t="str">
        <f>IFERROR(VLOOKUP(Q56,Scoring!$C$12:$E$15,2,FALSE),"")</f>
        <v/>
      </c>
      <c r="W56" s="7" t="str">
        <f>IFERROR(VLOOKUP(R56,Scoring!$C$17:$E$20,2,FALSE),"")</f>
        <v/>
      </c>
      <c r="X56" s="7" t="str">
        <f>IFERROR(VLOOKUP(S56,Scoring!$C$22:$E$25,2,FALSE),"")</f>
        <v/>
      </c>
      <c r="Y56" s="7" t="str">
        <f>IFERROR(VLOOKUP(T56,Scoring!$C$27:$E$30,2,FALSE),"")</f>
        <v/>
      </c>
      <c r="Z56" s="7">
        <f t="shared" si="3"/>
        <v>0</v>
      </c>
      <c r="AA56" s="8" t="str">
        <f t="shared" si="4"/>
        <v>D</v>
      </c>
      <c r="AB56" s="8" t="str">
        <f t="shared" si="5"/>
        <v>Hold</v>
      </c>
    </row>
    <row r="57" spans="1:28">
      <c r="A57" s="33">
        <v>52</v>
      </c>
      <c r="B57" s="33"/>
      <c r="C57" s="33"/>
      <c r="D57" s="25"/>
      <c r="E57" s="33"/>
      <c r="F57" s="25"/>
      <c r="G57" s="33"/>
      <c r="H57" s="33"/>
      <c r="I57" s="25">
        <f t="shared" si="6"/>
        <v>0</v>
      </c>
      <c r="J57" s="33"/>
      <c r="K57" s="33"/>
      <c r="L57" s="33"/>
      <c r="M57" s="19" t="b">
        <v>0</v>
      </c>
      <c r="N57" s="19" t="b">
        <v>0</v>
      </c>
      <c r="O57" s="19" t="b">
        <v>0</v>
      </c>
      <c r="P57" s="33"/>
      <c r="Q57" s="33"/>
      <c r="R57" s="33"/>
      <c r="S57" s="33"/>
      <c r="T57" s="33"/>
      <c r="U57" s="7" t="str">
        <f>IFERROR(VLOOKUP(P57,Scoring!$C$7:$E$10,2,FALSE),"")</f>
        <v/>
      </c>
      <c r="V57" s="7" t="str">
        <f>IFERROR(VLOOKUP(Q57,Scoring!$C$12:$E$15,2,FALSE),"")</f>
        <v/>
      </c>
      <c r="W57" s="7" t="str">
        <f>IFERROR(VLOOKUP(R57,Scoring!$C$17:$E$20,2,FALSE),"")</f>
        <v/>
      </c>
      <c r="X57" s="7" t="str">
        <f>IFERROR(VLOOKUP(S57,Scoring!$C$22:$E$25,2,FALSE),"")</f>
        <v/>
      </c>
      <c r="Y57" s="7" t="str">
        <f>IFERROR(VLOOKUP(T57,Scoring!$C$27:$E$30,2,FALSE),"")</f>
        <v/>
      </c>
      <c r="Z57" s="7">
        <f t="shared" si="3"/>
        <v>0</v>
      </c>
      <c r="AA57" s="8" t="str">
        <f t="shared" si="4"/>
        <v>D</v>
      </c>
      <c r="AB57" s="8" t="str">
        <f t="shared" si="5"/>
        <v>Hold</v>
      </c>
    </row>
    <row r="58" spans="1:28">
      <c r="A58" s="33">
        <v>53</v>
      </c>
      <c r="B58" s="33"/>
      <c r="C58" s="33"/>
      <c r="D58" s="25"/>
      <c r="E58" s="33"/>
      <c r="F58" s="25"/>
      <c r="G58" s="33"/>
      <c r="H58" s="33"/>
      <c r="I58" s="25">
        <f t="shared" si="6"/>
        <v>0</v>
      </c>
      <c r="J58" s="33"/>
      <c r="K58" s="33"/>
      <c r="L58" s="33"/>
      <c r="M58" s="19" t="b">
        <v>0</v>
      </c>
      <c r="N58" s="19" t="b">
        <v>0</v>
      </c>
      <c r="O58" s="19" t="b">
        <v>0</v>
      </c>
      <c r="P58" s="33"/>
      <c r="Q58" s="33"/>
      <c r="R58" s="33"/>
      <c r="S58" s="33"/>
      <c r="T58" s="33"/>
      <c r="U58" s="7" t="str">
        <f>IFERROR(VLOOKUP(P58,Scoring!$C$7:$E$10,2,FALSE),"")</f>
        <v/>
      </c>
      <c r="V58" s="7" t="str">
        <f>IFERROR(VLOOKUP(Q58,Scoring!$C$12:$E$15,2,FALSE),"")</f>
        <v/>
      </c>
      <c r="W58" s="7" t="str">
        <f>IFERROR(VLOOKUP(R58,Scoring!$C$17:$E$20,2,FALSE),"")</f>
        <v/>
      </c>
      <c r="X58" s="7" t="str">
        <f>IFERROR(VLOOKUP(S58,Scoring!$C$22:$E$25,2,FALSE),"")</f>
        <v/>
      </c>
      <c r="Y58" s="7" t="str">
        <f>IFERROR(VLOOKUP(T58,Scoring!$C$27:$E$30,2,FALSE),"")</f>
        <v/>
      </c>
      <c r="Z58" s="7">
        <f t="shared" si="3"/>
        <v>0</v>
      </c>
      <c r="AA58" s="8" t="str">
        <f t="shared" si="4"/>
        <v>D</v>
      </c>
      <c r="AB58" s="8" t="str">
        <f t="shared" si="5"/>
        <v>Hold</v>
      </c>
    </row>
    <row r="59" spans="1:28">
      <c r="A59" s="33">
        <v>54</v>
      </c>
      <c r="B59" s="33"/>
      <c r="C59" s="33"/>
      <c r="D59" s="25"/>
      <c r="E59" s="33"/>
      <c r="F59" s="25"/>
      <c r="G59" s="33"/>
      <c r="H59" s="33"/>
      <c r="I59" s="25">
        <f t="shared" si="6"/>
        <v>0</v>
      </c>
      <c r="J59" s="33"/>
      <c r="K59" s="33"/>
      <c r="L59" s="33"/>
      <c r="M59" s="19" t="b">
        <v>0</v>
      </c>
      <c r="N59" s="19" t="b">
        <v>0</v>
      </c>
      <c r="O59" s="19" t="b">
        <v>0</v>
      </c>
      <c r="P59" s="33"/>
      <c r="Q59" s="33"/>
      <c r="R59" s="33"/>
      <c r="S59" s="33"/>
      <c r="T59" s="33"/>
      <c r="U59" s="7" t="str">
        <f>IFERROR(VLOOKUP(P59,Scoring!$C$7:$E$10,2,FALSE),"")</f>
        <v/>
      </c>
      <c r="V59" s="7" t="str">
        <f>IFERROR(VLOOKUP(Q59,Scoring!$C$12:$E$15,2,FALSE),"")</f>
        <v/>
      </c>
      <c r="W59" s="7" t="str">
        <f>IFERROR(VLOOKUP(R59,Scoring!$C$17:$E$20,2,FALSE),"")</f>
        <v/>
      </c>
      <c r="X59" s="7" t="str">
        <f>IFERROR(VLOOKUP(S59,Scoring!$C$22:$E$25,2,FALSE),"")</f>
        <v/>
      </c>
      <c r="Y59" s="7" t="str">
        <f>IFERROR(VLOOKUP(T59,Scoring!$C$27:$E$30,2,FALSE),"")</f>
        <v/>
      </c>
      <c r="Z59" s="7">
        <f t="shared" si="3"/>
        <v>0</v>
      </c>
      <c r="AA59" s="8" t="str">
        <f t="shared" si="4"/>
        <v>D</v>
      </c>
      <c r="AB59" s="8" t="str">
        <f t="shared" si="5"/>
        <v>Hold</v>
      </c>
    </row>
    <row r="60" spans="1:28">
      <c r="A60" s="33">
        <v>55</v>
      </c>
      <c r="B60" s="33"/>
      <c r="C60" s="33"/>
      <c r="D60" s="25"/>
      <c r="E60" s="33"/>
      <c r="F60" s="25"/>
      <c r="G60" s="33"/>
      <c r="H60" s="33"/>
      <c r="I60" s="25">
        <f t="shared" si="6"/>
        <v>0</v>
      </c>
      <c r="J60" s="33"/>
      <c r="K60" s="33"/>
      <c r="L60" s="33"/>
      <c r="M60" s="19" t="b">
        <v>0</v>
      </c>
      <c r="N60" s="19" t="b">
        <v>0</v>
      </c>
      <c r="O60" s="19" t="b">
        <v>0</v>
      </c>
      <c r="P60" s="33"/>
      <c r="Q60" s="33"/>
      <c r="R60" s="33"/>
      <c r="S60" s="33"/>
      <c r="T60" s="33"/>
      <c r="U60" s="7" t="str">
        <f>IFERROR(VLOOKUP(P60,Scoring!$C$7:$E$10,2,FALSE),"")</f>
        <v/>
      </c>
      <c r="V60" s="7" t="str">
        <f>IFERROR(VLOOKUP(Q60,Scoring!$C$12:$E$15,2,FALSE),"")</f>
        <v/>
      </c>
      <c r="W60" s="7" t="str">
        <f>IFERROR(VLOOKUP(R60,Scoring!$C$17:$E$20,2,FALSE),"")</f>
        <v/>
      </c>
      <c r="X60" s="7" t="str">
        <f>IFERROR(VLOOKUP(S60,Scoring!$C$22:$E$25,2,FALSE),"")</f>
        <v/>
      </c>
      <c r="Y60" s="7" t="str">
        <f>IFERROR(VLOOKUP(T60,Scoring!$C$27:$E$30,2,FALSE),"")</f>
        <v/>
      </c>
      <c r="Z60" s="7">
        <f t="shared" si="3"/>
        <v>0</v>
      </c>
      <c r="AA60" s="8" t="str">
        <f t="shared" si="4"/>
        <v>D</v>
      </c>
      <c r="AB60" s="8" t="str">
        <f t="shared" si="5"/>
        <v>Hold</v>
      </c>
    </row>
    <row r="61" spans="1:28">
      <c r="A61" s="33">
        <v>56</v>
      </c>
      <c r="B61" s="33"/>
      <c r="C61" s="33"/>
      <c r="D61" s="25"/>
      <c r="E61" s="33"/>
      <c r="F61" s="25"/>
      <c r="G61" s="33"/>
      <c r="H61" s="33"/>
      <c r="I61" s="25">
        <f t="shared" si="6"/>
        <v>0</v>
      </c>
      <c r="J61" s="33"/>
      <c r="K61" s="33"/>
      <c r="L61" s="33"/>
      <c r="M61" s="19" t="b">
        <v>0</v>
      </c>
      <c r="N61" s="19" t="b">
        <v>0</v>
      </c>
      <c r="O61" s="19" t="b">
        <v>0</v>
      </c>
      <c r="P61" s="33"/>
      <c r="Q61" s="33"/>
      <c r="R61" s="33"/>
      <c r="S61" s="33"/>
      <c r="T61" s="33"/>
      <c r="U61" s="7" t="str">
        <f>IFERROR(VLOOKUP(P61,Scoring!$C$7:$E$10,2,FALSE),"")</f>
        <v/>
      </c>
      <c r="V61" s="7" t="str">
        <f>IFERROR(VLOOKUP(Q61,Scoring!$C$12:$E$15,2,FALSE),"")</f>
        <v/>
      </c>
      <c r="W61" s="7" t="str">
        <f>IFERROR(VLOOKUP(R61,Scoring!$C$17:$E$20,2,FALSE),"")</f>
        <v/>
      </c>
      <c r="X61" s="7" t="str">
        <f>IFERROR(VLOOKUP(S61,Scoring!$C$22:$E$25,2,FALSE),"")</f>
        <v/>
      </c>
      <c r="Y61" s="7" t="str">
        <f>IFERROR(VLOOKUP(T61,Scoring!$C$27:$E$30,2,FALSE),"")</f>
        <v/>
      </c>
      <c r="Z61" s="7">
        <f t="shared" si="3"/>
        <v>0</v>
      </c>
      <c r="AA61" s="8" t="str">
        <f t="shared" si="4"/>
        <v>D</v>
      </c>
      <c r="AB61" s="8" t="str">
        <f t="shared" si="5"/>
        <v>Hold</v>
      </c>
    </row>
    <row r="62" spans="1:28">
      <c r="A62" s="33">
        <v>57</v>
      </c>
      <c r="B62" s="33"/>
      <c r="C62" s="33"/>
      <c r="D62" s="25"/>
      <c r="E62" s="33"/>
      <c r="F62" s="25"/>
      <c r="G62" s="33"/>
      <c r="H62" s="33"/>
      <c r="I62" s="25">
        <f t="shared" si="6"/>
        <v>0</v>
      </c>
      <c r="J62" s="33"/>
      <c r="K62" s="33"/>
      <c r="L62" s="33"/>
      <c r="M62" s="19" t="b">
        <v>0</v>
      </c>
      <c r="N62" s="19" t="b">
        <v>0</v>
      </c>
      <c r="O62" s="19" t="b">
        <v>0</v>
      </c>
      <c r="P62" s="33"/>
      <c r="Q62" s="33"/>
      <c r="R62" s="33"/>
      <c r="S62" s="33"/>
      <c r="T62" s="33"/>
      <c r="U62" s="7" t="str">
        <f>IFERROR(VLOOKUP(P62,Scoring!$C$7:$E$10,2,FALSE),"")</f>
        <v/>
      </c>
      <c r="V62" s="7" t="str">
        <f>IFERROR(VLOOKUP(Q62,Scoring!$C$12:$E$15,2,FALSE),"")</f>
        <v/>
      </c>
      <c r="W62" s="7" t="str">
        <f>IFERROR(VLOOKUP(R62,Scoring!$C$17:$E$20,2,FALSE),"")</f>
        <v/>
      </c>
      <c r="X62" s="7" t="str">
        <f>IFERROR(VLOOKUP(S62,Scoring!$C$22:$E$25,2,FALSE),"")</f>
        <v/>
      </c>
      <c r="Y62" s="7" t="str">
        <f>IFERROR(VLOOKUP(T62,Scoring!$C$27:$E$30,2,FALSE),"")</f>
        <v/>
      </c>
      <c r="Z62" s="7">
        <f t="shared" si="3"/>
        <v>0</v>
      </c>
      <c r="AA62" s="8" t="str">
        <f t="shared" si="4"/>
        <v>D</v>
      </c>
      <c r="AB62" s="8" t="str">
        <f t="shared" si="5"/>
        <v>Hold</v>
      </c>
    </row>
    <row r="63" spans="1:28">
      <c r="A63" s="33">
        <v>58</v>
      </c>
      <c r="B63" s="33"/>
      <c r="C63" s="33"/>
      <c r="D63" s="25"/>
      <c r="E63" s="33"/>
      <c r="F63" s="25"/>
      <c r="G63" s="33"/>
      <c r="H63" s="33"/>
      <c r="I63" s="25">
        <f t="shared" si="6"/>
        <v>0</v>
      </c>
      <c r="J63" s="33"/>
      <c r="K63" s="33"/>
      <c r="L63" s="33"/>
      <c r="M63" s="19" t="b">
        <v>0</v>
      </c>
      <c r="N63" s="19" t="b">
        <v>0</v>
      </c>
      <c r="O63" s="19" t="b">
        <v>0</v>
      </c>
      <c r="P63" s="33"/>
      <c r="Q63" s="33"/>
      <c r="R63" s="33"/>
      <c r="S63" s="33"/>
      <c r="T63" s="33"/>
      <c r="U63" s="7" t="str">
        <f>IFERROR(VLOOKUP(P63,Scoring!$C$7:$E$10,2,FALSE),"")</f>
        <v/>
      </c>
      <c r="V63" s="7" t="str">
        <f>IFERROR(VLOOKUP(Q63,Scoring!$C$12:$E$15,2,FALSE),"")</f>
        <v/>
      </c>
      <c r="W63" s="7" t="str">
        <f>IFERROR(VLOOKUP(R63,Scoring!$C$17:$E$20,2,FALSE),"")</f>
        <v/>
      </c>
      <c r="X63" s="7" t="str">
        <f>IFERROR(VLOOKUP(S63,Scoring!$C$22:$E$25,2,FALSE),"")</f>
        <v/>
      </c>
      <c r="Y63" s="7" t="str">
        <f>IFERROR(VLOOKUP(T63,Scoring!$C$27:$E$30,2,FALSE),"")</f>
        <v/>
      </c>
      <c r="Z63" s="7">
        <f t="shared" si="3"/>
        <v>0</v>
      </c>
      <c r="AA63" s="8" t="str">
        <f t="shared" si="4"/>
        <v>D</v>
      </c>
      <c r="AB63" s="8" t="str">
        <f t="shared" si="5"/>
        <v>Hold</v>
      </c>
    </row>
    <row r="64" spans="1:28">
      <c r="A64" s="33">
        <v>59</v>
      </c>
      <c r="B64" s="33"/>
      <c r="C64" s="33"/>
      <c r="D64" s="25"/>
      <c r="E64" s="33"/>
      <c r="F64" s="25"/>
      <c r="G64" s="33"/>
      <c r="H64" s="33"/>
      <c r="I64" s="25">
        <f t="shared" si="6"/>
        <v>0</v>
      </c>
      <c r="J64" s="33"/>
      <c r="K64" s="33"/>
      <c r="L64" s="33"/>
      <c r="M64" s="19" t="b">
        <v>0</v>
      </c>
      <c r="N64" s="19" t="b">
        <v>0</v>
      </c>
      <c r="O64" s="19" t="b">
        <v>0</v>
      </c>
      <c r="P64" s="33"/>
      <c r="Q64" s="33"/>
      <c r="R64" s="33"/>
      <c r="S64" s="33"/>
      <c r="T64" s="33"/>
      <c r="U64" s="7" t="str">
        <f>IFERROR(VLOOKUP(P64,Scoring!$C$7:$E$10,2,FALSE),"")</f>
        <v/>
      </c>
      <c r="V64" s="7" t="str">
        <f>IFERROR(VLOOKUP(Q64,Scoring!$C$12:$E$15,2,FALSE),"")</f>
        <v/>
      </c>
      <c r="W64" s="7" t="str">
        <f>IFERROR(VLOOKUP(R64,Scoring!$C$17:$E$20,2,FALSE),"")</f>
        <v/>
      </c>
      <c r="X64" s="7" t="str">
        <f>IFERROR(VLOOKUP(S64,Scoring!$C$22:$E$25,2,FALSE),"")</f>
        <v/>
      </c>
      <c r="Y64" s="7" t="str">
        <f>IFERROR(VLOOKUP(T64,Scoring!$C$27:$E$30,2,FALSE),"")</f>
        <v/>
      </c>
      <c r="Z64" s="7">
        <f t="shared" si="3"/>
        <v>0</v>
      </c>
      <c r="AA64" s="8" t="str">
        <f t="shared" si="4"/>
        <v>D</v>
      </c>
      <c r="AB64" s="8" t="str">
        <f t="shared" si="5"/>
        <v>Hold</v>
      </c>
    </row>
    <row r="65" spans="1:28">
      <c r="A65" s="33">
        <v>60</v>
      </c>
      <c r="B65" s="33"/>
      <c r="C65" s="33"/>
      <c r="D65" s="25"/>
      <c r="E65" s="33"/>
      <c r="F65" s="25"/>
      <c r="G65" s="33"/>
      <c r="H65" s="33"/>
      <c r="I65" s="25">
        <f t="shared" si="6"/>
        <v>0</v>
      </c>
      <c r="J65" s="33"/>
      <c r="K65" s="33"/>
      <c r="L65" s="33"/>
      <c r="M65" s="19" t="b">
        <v>0</v>
      </c>
      <c r="N65" s="19" t="b">
        <v>0</v>
      </c>
      <c r="O65" s="19" t="b">
        <v>0</v>
      </c>
      <c r="P65" s="33"/>
      <c r="Q65" s="33"/>
      <c r="R65" s="33"/>
      <c r="S65" s="33"/>
      <c r="T65" s="33"/>
      <c r="U65" s="7" t="str">
        <f>IFERROR(VLOOKUP(P65,Scoring!$C$7:$E$10,2,FALSE),"")</f>
        <v/>
      </c>
      <c r="V65" s="7" t="str">
        <f>IFERROR(VLOOKUP(Q65,Scoring!$C$12:$E$15,2,FALSE),"")</f>
        <v/>
      </c>
      <c r="W65" s="7" t="str">
        <f>IFERROR(VLOOKUP(R65,Scoring!$C$17:$E$20,2,FALSE),"")</f>
        <v/>
      </c>
      <c r="X65" s="7" t="str">
        <f>IFERROR(VLOOKUP(S65,Scoring!$C$22:$E$25,2,FALSE),"")</f>
        <v/>
      </c>
      <c r="Y65" s="7" t="str">
        <f>IFERROR(VLOOKUP(T65,Scoring!$C$27:$E$30,2,FALSE),"")</f>
        <v/>
      </c>
      <c r="Z65" s="7">
        <f t="shared" si="3"/>
        <v>0</v>
      </c>
      <c r="AA65" s="8" t="str">
        <f t="shared" si="4"/>
        <v>D</v>
      </c>
      <c r="AB65" s="8" t="str">
        <f t="shared" si="5"/>
        <v>Hold</v>
      </c>
    </row>
    <row r="66" spans="1:28">
      <c r="A66" s="33">
        <v>61</v>
      </c>
      <c r="B66" s="33"/>
      <c r="C66" s="33"/>
      <c r="D66" s="25"/>
      <c r="E66" s="33"/>
      <c r="F66" s="25"/>
      <c r="G66" s="33"/>
      <c r="H66" s="33"/>
      <c r="I66" s="25">
        <f t="shared" si="6"/>
        <v>0</v>
      </c>
      <c r="J66" s="33"/>
      <c r="K66" s="33"/>
      <c r="L66" s="33"/>
      <c r="M66" s="19" t="b">
        <v>0</v>
      </c>
      <c r="N66" s="19" t="b">
        <v>0</v>
      </c>
      <c r="O66" s="19" t="b">
        <v>0</v>
      </c>
      <c r="P66" s="33"/>
      <c r="Q66" s="33"/>
      <c r="R66" s="33"/>
      <c r="S66" s="33"/>
      <c r="T66" s="33"/>
      <c r="U66" s="7" t="str">
        <f>IFERROR(VLOOKUP(P66,Scoring!$C$7:$E$10,2,FALSE),"")</f>
        <v/>
      </c>
      <c r="V66" s="7" t="str">
        <f>IFERROR(VLOOKUP(Q66,Scoring!$C$12:$E$15,2,FALSE),"")</f>
        <v/>
      </c>
      <c r="W66" s="7" t="str">
        <f>IFERROR(VLOOKUP(R66,Scoring!$C$17:$E$20,2,FALSE),"")</f>
        <v/>
      </c>
      <c r="X66" s="7" t="str">
        <f>IFERROR(VLOOKUP(S66,Scoring!$C$22:$E$25,2,FALSE),"")</f>
        <v/>
      </c>
      <c r="Y66" s="7" t="str">
        <f>IFERROR(VLOOKUP(T66,Scoring!$C$27:$E$30,2,FALSE),"")</f>
        <v/>
      </c>
      <c r="Z66" s="7">
        <f t="shared" si="3"/>
        <v>0</v>
      </c>
      <c r="AA66" s="8" t="str">
        <f t="shared" si="4"/>
        <v>D</v>
      </c>
      <c r="AB66" s="8" t="str">
        <f t="shared" si="5"/>
        <v>Hold</v>
      </c>
    </row>
    <row r="67" spans="1:28">
      <c r="A67" s="33">
        <v>62</v>
      </c>
      <c r="B67" s="33"/>
      <c r="C67" s="33"/>
      <c r="D67" s="25"/>
      <c r="E67" s="33"/>
      <c r="F67" s="25"/>
      <c r="G67" s="33"/>
      <c r="H67" s="33"/>
      <c r="I67" s="25">
        <f t="shared" si="6"/>
        <v>0</v>
      </c>
      <c r="J67" s="33"/>
      <c r="K67" s="33"/>
      <c r="L67" s="33"/>
      <c r="M67" s="19" t="b">
        <v>0</v>
      </c>
      <c r="N67" s="19" t="b">
        <v>0</v>
      </c>
      <c r="O67" s="19" t="b">
        <v>0</v>
      </c>
      <c r="P67" s="33"/>
      <c r="Q67" s="33"/>
      <c r="R67" s="33"/>
      <c r="S67" s="33"/>
      <c r="T67" s="33"/>
      <c r="U67" s="7" t="str">
        <f>IFERROR(VLOOKUP(P67,Scoring!$C$7:$E$10,2,FALSE),"")</f>
        <v/>
      </c>
      <c r="V67" s="7" t="str">
        <f>IFERROR(VLOOKUP(Q67,Scoring!$C$12:$E$15,2,FALSE),"")</f>
        <v/>
      </c>
      <c r="W67" s="7" t="str">
        <f>IFERROR(VLOOKUP(R67,Scoring!$C$17:$E$20,2,FALSE),"")</f>
        <v/>
      </c>
      <c r="X67" s="7" t="str">
        <f>IFERROR(VLOOKUP(S67,Scoring!$C$22:$E$25,2,FALSE),"")</f>
        <v/>
      </c>
      <c r="Y67" s="7" t="str">
        <f>IFERROR(VLOOKUP(T67,Scoring!$C$27:$E$30,2,FALSE),"")</f>
        <v/>
      </c>
      <c r="Z67" s="7">
        <f t="shared" si="3"/>
        <v>0</v>
      </c>
      <c r="AA67" s="8" t="str">
        <f t="shared" si="4"/>
        <v>D</v>
      </c>
      <c r="AB67" s="8" t="str">
        <f t="shared" si="5"/>
        <v>Hold</v>
      </c>
    </row>
    <row r="68" spans="1:28">
      <c r="A68" s="33">
        <v>63</v>
      </c>
      <c r="B68" s="33"/>
      <c r="C68" s="33"/>
      <c r="D68" s="25"/>
      <c r="E68" s="33"/>
      <c r="F68" s="25"/>
      <c r="G68" s="33"/>
      <c r="H68" s="33"/>
      <c r="I68" s="25">
        <f t="shared" si="6"/>
        <v>0</v>
      </c>
      <c r="J68" s="33"/>
      <c r="K68" s="33"/>
      <c r="L68" s="33"/>
      <c r="M68" s="19" t="b">
        <v>0</v>
      </c>
      <c r="N68" s="19" t="b">
        <v>0</v>
      </c>
      <c r="O68" s="19" t="b">
        <v>0</v>
      </c>
      <c r="P68" s="33"/>
      <c r="Q68" s="33"/>
      <c r="R68" s="33"/>
      <c r="S68" s="33"/>
      <c r="T68" s="33"/>
      <c r="U68" s="7" t="str">
        <f>IFERROR(VLOOKUP(P68,Scoring!$C$7:$E$10,2,FALSE),"")</f>
        <v/>
      </c>
      <c r="V68" s="7" t="str">
        <f>IFERROR(VLOOKUP(Q68,Scoring!$C$12:$E$15,2,FALSE),"")</f>
        <v/>
      </c>
      <c r="W68" s="7" t="str">
        <f>IFERROR(VLOOKUP(R68,Scoring!$C$17:$E$20,2,FALSE),"")</f>
        <v/>
      </c>
      <c r="X68" s="7" t="str">
        <f>IFERROR(VLOOKUP(S68,Scoring!$C$22:$E$25,2,FALSE),"")</f>
        <v/>
      </c>
      <c r="Y68" s="7" t="str">
        <f>IFERROR(VLOOKUP(T68,Scoring!$C$27:$E$30,2,FALSE),"")</f>
        <v/>
      </c>
      <c r="Z68" s="7">
        <f t="shared" si="3"/>
        <v>0</v>
      </c>
      <c r="AA68" s="8" t="str">
        <f t="shared" si="4"/>
        <v>D</v>
      </c>
      <c r="AB68" s="8" t="str">
        <f t="shared" si="5"/>
        <v>Hold</v>
      </c>
    </row>
    <row r="69" spans="1:28">
      <c r="A69" s="33">
        <v>64</v>
      </c>
      <c r="B69" s="33"/>
      <c r="C69" s="33"/>
      <c r="D69" s="25"/>
      <c r="E69" s="33"/>
      <c r="F69" s="25"/>
      <c r="G69" s="33"/>
      <c r="H69" s="33"/>
      <c r="I69" s="25">
        <f t="shared" si="6"/>
        <v>0</v>
      </c>
      <c r="J69" s="33"/>
      <c r="K69" s="33"/>
      <c r="L69" s="33"/>
      <c r="M69" s="19" t="b">
        <v>0</v>
      </c>
      <c r="N69" s="19" t="b">
        <v>0</v>
      </c>
      <c r="O69" s="19" t="b">
        <v>0</v>
      </c>
      <c r="P69" s="33"/>
      <c r="Q69" s="33"/>
      <c r="R69" s="33"/>
      <c r="S69" s="33"/>
      <c r="T69" s="33"/>
      <c r="U69" s="7" t="str">
        <f>IFERROR(VLOOKUP(P69,Scoring!$C$7:$E$10,2,FALSE),"")</f>
        <v/>
      </c>
      <c r="V69" s="7" t="str">
        <f>IFERROR(VLOOKUP(Q69,Scoring!$C$12:$E$15,2,FALSE),"")</f>
        <v/>
      </c>
      <c r="W69" s="7" t="str">
        <f>IFERROR(VLOOKUP(R69,Scoring!$C$17:$E$20,2,FALSE),"")</f>
        <v/>
      </c>
      <c r="X69" s="7" t="str">
        <f>IFERROR(VLOOKUP(S69,Scoring!$C$22:$E$25,2,FALSE),"")</f>
        <v/>
      </c>
      <c r="Y69" s="7" t="str">
        <f>IFERROR(VLOOKUP(T69,Scoring!$C$27:$E$30,2,FALSE),"")</f>
        <v/>
      </c>
      <c r="Z69" s="7">
        <f t="shared" si="3"/>
        <v>0</v>
      </c>
      <c r="AA69" s="8" t="str">
        <f t="shared" si="4"/>
        <v>D</v>
      </c>
      <c r="AB69" s="8" t="str">
        <f t="shared" si="5"/>
        <v>Hold</v>
      </c>
    </row>
    <row r="70" spans="1:28">
      <c r="A70" s="33">
        <v>65</v>
      </c>
      <c r="B70" s="33"/>
      <c r="C70" s="33"/>
      <c r="D70" s="25"/>
      <c r="E70" s="33"/>
      <c r="F70" s="25"/>
      <c r="G70" s="33"/>
      <c r="H70" s="33"/>
      <c r="I70" s="25">
        <f t="shared" ref="I70:I105" si="7">DATEDIF(G70, H70, "Y")</f>
        <v>0</v>
      </c>
      <c r="J70" s="33"/>
      <c r="K70" s="33"/>
      <c r="L70" s="33"/>
      <c r="M70" s="19" t="b">
        <v>0</v>
      </c>
      <c r="N70" s="19" t="b">
        <v>0</v>
      </c>
      <c r="O70" s="19" t="b">
        <v>0</v>
      </c>
      <c r="P70" s="33"/>
      <c r="Q70" s="33"/>
      <c r="R70" s="33"/>
      <c r="S70" s="33"/>
      <c r="T70" s="33"/>
      <c r="U70" s="7" t="str">
        <f>IFERROR(VLOOKUP(P70,Scoring!$C$7:$E$10,2,FALSE),"")</f>
        <v/>
      </c>
      <c r="V70" s="7" t="str">
        <f>IFERROR(VLOOKUP(Q70,Scoring!$C$12:$E$15,2,FALSE),"")</f>
        <v/>
      </c>
      <c r="W70" s="7" t="str">
        <f>IFERROR(VLOOKUP(R70,Scoring!$C$17:$E$20,2,FALSE),"")</f>
        <v/>
      </c>
      <c r="X70" s="7" t="str">
        <f>IFERROR(VLOOKUP(S70,Scoring!$C$22:$E$25,2,FALSE),"")</f>
        <v/>
      </c>
      <c r="Y70" s="7" t="str">
        <f>IFERROR(VLOOKUP(T70,Scoring!$C$27:$E$30,2,FALSE),"")</f>
        <v/>
      </c>
      <c r="Z70" s="7">
        <f t="shared" ref="Z70:Z105" si="8">SUM(U70:Y70)</f>
        <v>0</v>
      </c>
      <c r="AA70" s="8" t="str">
        <f t="shared" ref="AA70:AA105" si="9">IF(Z70&gt;=400,"A",IF(Z70&gt;=300,"B",IF(Z70&gt;=200,"C","D")))</f>
        <v>D</v>
      </c>
      <c r="AB70" s="8" t="str">
        <f t="shared" ref="AB70:AB105" si="10">IF(AA70="A","Review Now",IF(AA70="B","Review Next",IF(AA70="C","Pending","Hold")))</f>
        <v>Hold</v>
      </c>
    </row>
    <row r="71" spans="1:28">
      <c r="A71" s="33">
        <v>66</v>
      </c>
      <c r="B71" s="33"/>
      <c r="C71" s="33"/>
      <c r="D71" s="25"/>
      <c r="E71" s="33"/>
      <c r="F71" s="25"/>
      <c r="G71" s="33"/>
      <c r="H71" s="33"/>
      <c r="I71" s="25">
        <f t="shared" si="7"/>
        <v>0</v>
      </c>
      <c r="J71" s="33"/>
      <c r="K71" s="33"/>
      <c r="L71" s="33"/>
      <c r="M71" s="19" t="b">
        <v>0</v>
      </c>
      <c r="N71" s="19" t="b">
        <v>0</v>
      </c>
      <c r="O71" s="19" t="b">
        <v>0</v>
      </c>
      <c r="P71" s="33"/>
      <c r="Q71" s="33"/>
      <c r="R71" s="33"/>
      <c r="S71" s="33"/>
      <c r="T71" s="33"/>
      <c r="U71" s="7" t="str">
        <f>IFERROR(VLOOKUP(P71,Scoring!$C$7:$E$10,2,FALSE),"")</f>
        <v/>
      </c>
      <c r="V71" s="7" t="str">
        <f>IFERROR(VLOOKUP(Q71,Scoring!$C$12:$E$15,2,FALSE),"")</f>
        <v/>
      </c>
      <c r="W71" s="7" t="str">
        <f>IFERROR(VLOOKUP(R71,Scoring!$C$17:$E$20,2,FALSE),"")</f>
        <v/>
      </c>
      <c r="X71" s="7" t="str">
        <f>IFERROR(VLOOKUP(S71,Scoring!$C$22:$E$25,2,FALSE),"")</f>
        <v/>
      </c>
      <c r="Y71" s="7" t="str">
        <f>IFERROR(VLOOKUP(T71,Scoring!$C$27:$E$30,2,FALSE),"")</f>
        <v/>
      </c>
      <c r="Z71" s="7">
        <f t="shared" si="8"/>
        <v>0</v>
      </c>
      <c r="AA71" s="8" t="str">
        <f t="shared" si="9"/>
        <v>D</v>
      </c>
      <c r="AB71" s="8" t="str">
        <f t="shared" si="10"/>
        <v>Hold</v>
      </c>
    </row>
    <row r="72" spans="1:28">
      <c r="A72" s="33">
        <v>67</v>
      </c>
      <c r="B72" s="33"/>
      <c r="C72" s="33"/>
      <c r="D72" s="25"/>
      <c r="E72" s="33"/>
      <c r="F72" s="25"/>
      <c r="G72" s="33"/>
      <c r="H72" s="33"/>
      <c r="I72" s="25">
        <f t="shared" si="7"/>
        <v>0</v>
      </c>
      <c r="J72" s="33"/>
      <c r="K72" s="33"/>
      <c r="L72" s="33"/>
      <c r="M72" s="19" t="b">
        <v>0</v>
      </c>
      <c r="N72" s="19" t="b">
        <v>0</v>
      </c>
      <c r="O72" s="19" t="b">
        <v>0</v>
      </c>
      <c r="P72" s="33"/>
      <c r="Q72" s="33"/>
      <c r="R72" s="33"/>
      <c r="S72" s="33"/>
      <c r="T72" s="33"/>
      <c r="U72" s="7" t="str">
        <f>IFERROR(VLOOKUP(P72,Scoring!$C$7:$E$10,2,FALSE),"")</f>
        <v/>
      </c>
      <c r="V72" s="7" t="str">
        <f>IFERROR(VLOOKUP(Q72,Scoring!$C$12:$E$15,2,FALSE),"")</f>
        <v/>
      </c>
      <c r="W72" s="7" t="str">
        <f>IFERROR(VLOOKUP(R72,Scoring!$C$17:$E$20,2,FALSE),"")</f>
        <v/>
      </c>
      <c r="X72" s="7" t="str">
        <f>IFERROR(VLOOKUP(S72,Scoring!$C$22:$E$25,2,FALSE),"")</f>
        <v/>
      </c>
      <c r="Y72" s="7" t="str">
        <f>IFERROR(VLOOKUP(T72,Scoring!$C$27:$E$30,2,FALSE),"")</f>
        <v/>
      </c>
      <c r="Z72" s="7">
        <f t="shared" si="8"/>
        <v>0</v>
      </c>
      <c r="AA72" s="8" t="str">
        <f t="shared" si="9"/>
        <v>D</v>
      </c>
      <c r="AB72" s="8" t="str">
        <f t="shared" si="10"/>
        <v>Hold</v>
      </c>
    </row>
    <row r="73" spans="1:28">
      <c r="A73" s="33">
        <v>68</v>
      </c>
      <c r="B73" s="33"/>
      <c r="C73" s="33"/>
      <c r="D73" s="25"/>
      <c r="E73" s="33"/>
      <c r="F73" s="25"/>
      <c r="G73" s="33"/>
      <c r="H73" s="33"/>
      <c r="I73" s="25">
        <f t="shared" si="7"/>
        <v>0</v>
      </c>
      <c r="J73" s="33"/>
      <c r="K73" s="33"/>
      <c r="L73" s="33"/>
      <c r="M73" s="19" t="b">
        <v>0</v>
      </c>
      <c r="N73" s="19" t="b">
        <v>0</v>
      </c>
      <c r="O73" s="19" t="b">
        <v>0</v>
      </c>
      <c r="P73" s="33"/>
      <c r="Q73" s="33"/>
      <c r="R73" s="33"/>
      <c r="S73" s="33"/>
      <c r="T73" s="33"/>
      <c r="U73" s="7" t="str">
        <f>IFERROR(VLOOKUP(P73,Scoring!$C$7:$E$10,2,FALSE),"")</f>
        <v/>
      </c>
      <c r="V73" s="7" t="str">
        <f>IFERROR(VLOOKUP(Q73,Scoring!$C$12:$E$15,2,FALSE),"")</f>
        <v/>
      </c>
      <c r="W73" s="7" t="str">
        <f>IFERROR(VLOOKUP(R73,Scoring!$C$17:$E$20,2,FALSE),"")</f>
        <v/>
      </c>
      <c r="X73" s="7" t="str">
        <f>IFERROR(VLOOKUP(S73,Scoring!$C$22:$E$25,2,FALSE),"")</f>
        <v/>
      </c>
      <c r="Y73" s="7" t="str">
        <f>IFERROR(VLOOKUP(T73,Scoring!$C$27:$E$30,2,FALSE),"")</f>
        <v/>
      </c>
      <c r="Z73" s="7">
        <f t="shared" si="8"/>
        <v>0</v>
      </c>
      <c r="AA73" s="8" t="str">
        <f t="shared" si="9"/>
        <v>D</v>
      </c>
      <c r="AB73" s="8" t="str">
        <f t="shared" si="10"/>
        <v>Hold</v>
      </c>
    </row>
    <row r="74" spans="1:28">
      <c r="A74" s="33">
        <v>69</v>
      </c>
      <c r="B74" s="33"/>
      <c r="C74" s="33"/>
      <c r="D74" s="25"/>
      <c r="E74" s="33"/>
      <c r="F74" s="25"/>
      <c r="G74" s="33"/>
      <c r="H74" s="33"/>
      <c r="I74" s="25">
        <f t="shared" si="7"/>
        <v>0</v>
      </c>
      <c r="J74" s="33"/>
      <c r="K74" s="33"/>
      <c r="L74" s="33"/>
      <c r="M74" s="19" t="b">
        <v>0</v>
      </c>
      <c r="N74" s="19" t="b">
        <v>0</v>
      </c>
      <c r="O74" s="19" t="b">
        <v>0</v>
      </c>
      <c r="P74" s="33"/>
      <c r="Q74" s="33"/>
      <c r="R74" s="33"/>
      <c r="S74" s="33"/>
      <c r="T74" s="33"/>
      <c r="U74" s="7" t="str">
        <f>IFERROR(VLOOKUP(P74,Scoring!$C$7:$E$10,2,FALSE),"")</f>
        <v/>
      </c>
      <c r="V74" s="7" t="str">
        <f>IFERROR(VLOOKUP(Q74,Scoring!$C$12:$E$15,2,FALSE),"")</f>
        <v/>
      </c>
      <c r="W74" s="7" t="str">
        <f>IFERROR(VLOOKUP(R74,Scoring!$C$17:$E$20,2,FALSE),"")</f>
        <v/>
      </c>
      <c r="X74" s="7" t="str">
        <f>IFERROR(VLOOKUP(S74,Scoring!$C$22:$E$25,2,FALSE),"")</f>
        <v/>
      </c>
      <c r="Y74" s="7" t="str">
        <f>IFERROR(VLOOKUP(T74,Scoring!$C$27:$E$30,2,FALSE),"")</f>
        <v/>
      </c>
      <c r="Z74" s="7">
        <f t="shared" si="8"/>
        <v>0</v>
      </c>
      <c r="AA74" s="8" t="str">
        <f t="shared" si="9"/>
        <v>D</v>
      </c>
      <c r="AB74" s="8" t="str">
        <f t="shared" si="10"/>
        <v>Hold</v>
      </c>
    </row>
    <row r="75" spans="1:28">
      <c r="A75" s="33">
        <v>70</v>
      </c>
      <c r="B75" s="33"/>
      <c r="C75" s="33"/>
      <c r="D75" s="25"/>
      <c r="E75" s="33"/>
      <c r="F75" s="25"/>
      <c r="G75" s="33"/>
      <c r="H75" s="33"/>
      <c r="I75" s="25">
        <f t="shared" si="7"/>
        <v>0</v>
      </c>
      <c r="J75" s="33"/>
      <c r="K75" s="33"/>
      <c r="L75" s="33"/>
      <c r="M75" s="19" t="b">
        <v>0</v>
      </c>
      <c r="N75" s="19" t="b">
        <v>0</v>
      </c>
      <c r="O75" s="19" t="b">
        <v>0</v>
      </c>
      <c r="P75" s="33"/>
      <c r="Q75" s="33"/>
      <c r="R75" s="33"/>
      <c r="S75" s="33"/>
      <c r="T75" s="33"/>
      <c r="U75" s="7" t="str">
        <f>IFERROR(VLOOKUP(P75,Scoring!$C$7:$E$10,2,FALSE),"")</f>
        <v/>
      </c>
      <c r="V75" s="7" t="str">
        <f>IFERROR(VLOOKUP(Q75,Scoring!$C$12:$E$15,2,FALSE),"")</f>
        <v/>
      </c>
      <c r="W75" s="7" t="str">
        <f>IFERROR(VLOOKUP(R75,Scoring!$C$17:$E$20,2,FALSE),"")</f>
        <v/>
      </c>
      <c r="X75" s="7" t="str">
        <f>IFERROR(VLOOKUP(S75,Scoring!$C$22:$E$25,2,FALSE),"")</f>
        <v/>
      </c>
      <c r="Y75" s="7" t="str">
        <f>IFERROR(VLOOKUP(T75,Scoring!$C$27:$E$30,2,FALSE),"")</f>
        <v/>
      </c>
      <c r="Z75" s="7">
        <f t="shared" si="8"/>
        <v>0</v>
      </c>
      <c r="AA75" s="8" t="str">
        <f t="shared" si="9"/>
        <v>D</v>
      </c>
      <c r="AB75" s="8" t="str">
        <f t="shared" si="10"/>
        <v>Hold</v>
      </c>
    </row>
    <row r="76" spans="1:28">
      <c r="A76" s="33">
        <v>71</v>
      </c>
      <c r="B76" s="33"/>
      <c r="C76" s="33"/>
      <c r="D76" s="25"/>
      <c r="E76" s="33"/>
      <c r="F76" s="25"/>
      <c r="G76" s="33"/>
      <c r="H76" s="33"/>
      <c r="I76" s="25">
        <f t="shared" si="7"/>
        <v>0</v>
      </c>
      <c r="J76" s="33"/>
      <c r="K76" s="33"/>
      <c r="L76" s="33"/>
      <c r="M76" s="19" t="b">
        <v>0</v>
      </c>
      <c r="N76" s="19" t="b">
        <v>0</v>
      </c>
      <c r="O76" s="19" t="b">
        <v>0</v>
      </c>
      <c r="P76" s="33"/>
      <c r="Q76" s="33"/>
      <c r="R76" s="33"/>
      <c r="S76" s="33"/>
      <c r="T76" s="33"/>
      <c r="U76" s="7" t="str">
        <f>IFERROR(VLOOKUP(P76,Scoring!$C$7:$E$10,2,FALSE),"")</f>
        <v/>
      </c>
      <c r="V76" s="7" t="str">
        <f>IFERROR(VLOOKUP(Q76,Scoring!$C$12:$E$15,2,FALSE),"")</f>
        <v/>
      </c>
      <c r="W76" s="7" t="str">
        <f>IFERROR(VLOOKUP(R76,Scoring!$C$17:$E$20,2,FALSE),"")</f>
        <v/>
      </c>
      <c r="X76" s="7" t="str">
        <f>IFERROR(VLOOKUP(S76,Scoring!$C$22:$E$25,2,FALSE),"")</f>
        <v/>
      </c>
      <c r="Y76" s="7" t="str">
        <f>IFERROR(VLOOKUP(T76,Scoring!$C$27:$E$30,2,FALSE),"")</f>
        <v/>
      </c>
      <c r="Z76" s="7">
        <f t="shared" si="8"/>
        <v>0</v>
      </c>
      <c r="AA76" s="8" t="str">
        <f t="shared" si="9"/>
        <v>D</v>
      </c>
      <c r="AB76" s="8" t="str">
        <f t="shared" si="10"/>
        <v>Hold</v>
      </c>
    </row>
    <row r="77" spans="1:28">
      <c r="A77" s="33">
        <v>72</v>
      </c>
      <c r="B77" s="33"/>
      <c r="C77" s="33"/>
      <c r="D77" s="25"/>
      <c r="E77" s="33"/>
      <c r="F77" s="25"/>
      <c r="G77" s="33"/>
      <c r="H77" s="33"/>
      <c r="I77" s="25">
        <f t="shared" si="7"/>
        <v>0</v>
      </c>
      <c r="J77" s="33"/>
      <c r="K77" s="33"/>
      <c r="L77" s="33"/>
      <c r="M77" s="19" t="b">
        <v>0</v>
      </c>
      <c r="N77" s="19" t="b">
        <v>0</v>
      </c>
      <c r="O77" s="19" t="b">
        <v>0</v>
      </c>
      <c r="P77" s="33"/>
      <c r="Q77" s="33"/>
      <c r="R77" s="33"/>
      <c r="S77" s="33"/>
      <c r="T77" s="33"/>
      <c r="U77" s="7" t="str">
        <f>IFERROR(VLOOKUP(P77,Scoring!$C$7:$E$10,2,FALSE),"")</f>
        <v/>
      </c>
      <c r="V77" s="7" t="str">
        <f>IFERROR(VLOOKUP(Q77,Scoring!$C$12:$E$15,2,FALSE),"")</f>
        <v/>
      </c>
      <c r="W77" s="7" t="str">
        <f>IFERROR(VLOOKUP(R77,Scoring!$C$17:$E$20,2,FALSE),"")</f>
        <v/>
      </c>
      <c r="X77" s="7" t="str">
        <f>IFERROR(VLOOKUP(S77,Scoring!$C$22:$E$25,2,FALSE),"")</f>
        <v/>
      </c>
      <c r="Y77" s="7" t="str">
        <f>IFERROR(VLOOKUP(T77,Scoring!$C$27:$E$30,2,FALSE),"")</f>
        <v/>
      </c>
      <c r="Z77" s="7">
        <f t="shared" si="8"/>
        <v>0</v>
      </c>
      <c r="AA77" s="8" t="str">
        <f t="shared" si="9"/>
        <v>D</v>
      </c>
      <c r="AB77" s="8" t="str">
        <f t="shared" si="10"/>
        <v>Hold</v>
      </c>
    </row>
    <row r="78" spans="1:28">
      <c r="A78" s="33">
        <v>73</v>
      </c>
      <c r="B78" s="33"/>
      <c r="C78" s="33"/>
      <c r="D78" s="25"/>
      <c r="E78" s="33"/>
      <c r="F78" s="25"/>
      <c r="G78" s="33"/>
      <c r="H78" s="33"/>
      <c r="I78" s="25">
        <f t="shared" si="7"/>
        <v>0</v>
      </c>
      <c r="J78" s="33"/>
      <c r="K78" s="33"/>
      <c r="L78" s="33"/>
      <c r="M78" s="19" t="b">
        <v>0</v>
      </c>
      <c r="N78" s="19" t="b">
        <v>0</v>
      </c>
      <c r="O78" s="19" t="b">
        <v>0</v>
      </c>
      <c r="P78" s="33"/>
      <c r="Q78" s="33"/>
      <c r="R78" s="33"/>
      <c r="S78" s="33"/>
      <c r="T78" s="33"/>
      <c r="U78" s="7" t="str">
        <f>IFERROR(VLOOKUP(P78,Scoring!$C$7:$E$10,2,FALSE),"")</f>
        <v/>
      </c>
      <c r="V78" s="7" t="str">
        <f>IFERROR(VLOOKUP(Q78,Scoring!$C$12:$E$15,2,FALSE),"")</f>
        <v/>
      </c>
      <c r="W78" s="7" t="str">
        <f>IFERROR(VLOOKUP(R78,Scoring!$C$17:$E$20,2,FALSE),"")</f>
        <v/>
      </c>
      <c r="X78" s="7" t="str">
        <f>IFERROR(VLOOKUP(S78,Scoring!$C$22:$E$25,2,FALSE),"")</f>
        <v/>
      </c>
      <c r="Y78" s="7" t="str">
        <f>IFERROR(VLOOKUP(T78,Scoring!$C$27:$E$30,2,FALSE),"")</f>
        <v/>
      </c>
      <c r="Z78" s="7">
        <f t="shared" si="8"/>
        <v>0</v>
      </c>
      <c r="AA78" s="8" t="str">
        <f t="shared" si="9"/>
        <v>D</v>
      </c>
      <c r="AB78" s="8" t="str">
        <f t="shared" si="10"/>
        <v>Hold</v>
      </c>
    </row>
    <row r="79" spans="1:28">
      <c r="A79" s="33">
        <v>74</v>
      </c>
      <c r="B79" s="33"/>
      <c r="C79" s="33"/>
      <c r="D79" s="25"/>
      <c r="E79" s="33"/>
      <c r="F79" s="25"/>
      <c r="G79" s="33"/>
      <c r="H79" s="33"/>
      <c r="I79" s="25">
        <f t="shared" si="7"/>
        <v>0</v>
      </c>
      <c r="J79" s="33"/>
      <c r="K79" s="33"/>
      <c r="L79" s="33"/>
      <c r="M79" s="19" t="b">
        <v>0</v>
      </c>
      <c r="N79" s="19" t="b">
        <v>0</v>
      </c>
      <c r="O79" s="19" t="b">
        <v>0</v>
      </c>
      <c r="P79" s="33"/>
      <c r="Q79" s="33"/>
      <c r="R79" s="33"/>
      <c r="S79" s="33"/>
      <c r="T79" s="33"/>
      <c r="U79" s="7" t="str">
        <f>IFERROR(VLOOKUP(P79,Scoring!$C$7:$E$10,2,FALSE),"")</f>
        <v/>
      </c>
      <c r="V79" s="7" t="str">
        <f>IFERROR(VLOOKUP(Q79,Scoring!$C$12:$E$15,2,FALSE),"")</f>
        <v/>
      </c>
      <c r="W79" s="7" t="str">
        <f>IFERROR(VLOOKUP(R79,Scoring!$C$17:$E$20,2,FALSE),"")</f>
        <v/>
      </c>
      <c r="X79" s="7" t="str">
        <f>IFERROR(VLOOKUP(S79,Scoring!$C$22:$E$25,2,FALSE),"")</f>
        <v/>
      </c>
      <c r="Y79" s="7" t="str">
        <f>IFERROR(VLOOKUP(T79,Scoring!$C$27:$E$30,2,FALSE),"")</f>
        <v/>
      </c>
      <c r="Z79" s="7">
        <f t="shared" si="8"/>
        <v>0</v>
      </c>
      <c r="AA79" s="8" t="str">
        <f t="shared" si="9"/>
        <v>D</v>
      </c>
      <c r="AB79" s="8" t="str">
        <f t="shared" si="10"/>
        <v>Hold</v>
      </c>
    </row>
    <row r="80" spans="1:28">
      <c r="A80" s="33">
        <v>75</v>
      </c>
      <c r="B80" s="33"/>
      <c r="C80" s="33"/>
      <c r="D80" s="25"/>
      <c r="E80" s="33"/>
      <c r="F80" s="25"/>
      <c r="G80" s="33"/>
      <c r="H80" s="33"/>
      <c r="I80" s="25">
        <f t="shared" si="7"/>
        <v>0</v>
      </c>
      <c r="J80" s="33"/>
      <c r="K80" s="33"/>
      <c r="L80" s="33"/>
      <c r="M80" s="19" t="b">
        <v>0</v>
      </c>
      <c r="N80" s="19" t="b">
        <v>0</v>
      </c>
      <c r="O80" s="19" t="b">
        <v>0</v>
      </c>
      <c r="P80" s="33"/>
      <c r="Q80" s="33"/>
      <c r="R80" s="33"/>
      <c r="S80" s="33"/>
      <c r="T80" s="33"/>
      <c r="U80" s="7" t="str">
        <f>IFERROR(VLOOKUP(P80,Scoring!$C$7:$E$10,2,FALSE),"")</f>
        <v/>
      </c>
      <c r="V80" s="7" t="str">
        <f>IFERROR(VLOOKUP(Q80,Scoring!$C$12:$E$15,2,FALSE),"")</f>
        <v/>
      </c>
      <c r="W80" s="7" t="str">
        <f>IFERROR(VLOOKUP(R80,Scoring!$C$17:$E$20,2,FALSE),"")</f>
        <v/>
      </c>
      <c r="X80" s="7" t="str">
        <f>IFERROR(VLOOKUP(S80,Scoring!$C$22:$E$25,2,FALSE),"")</f>
        <v/>
      </c>
      <c r="Y80" s="7" t="str">
        <f>IFERROR(VLOOKUP(T80,Scoring!$C$27:$E$30,2,FALSE),"")</f>
        <v/>
      </c>
      <c r="Z80" s="7">
        <f t="shared" si="8"/>
        <v>0</v>
      </c>
      <c r="AA80" s="8" t="str">
        <f t="shared" si="9"/>
        <v>D</v>
      </c>
      <c r="AB80" s="8" t="str">
        <f t="shared" si="10"/>
        <v>Hold</v>
      </c>
    </row>
    <row r="81" spans="1:28">
      <c r="A81" s="33">
        <v>76</v>
      </c>
      <c r="B81" s="33"/>
      <c r="C81" s="33"/>
      <c r="D81" s="25"/>
      <c r="E81" s="33"/>
      <c r="F81" s="25"/>
      <c r="G81" s="33"/>
      <c r="H81" s="33"/>
      <c r="I81" s="25">
        <f t="shared" si="7"/>
        <v>0</v>
      </c>
      <c r="J81" s="33"/>
      <c r="K81" s="33"/>
      <c r="L81" s="33"/>
      <c r="M81" s="19" t="b">
        <v>0</v>
      </c>
      <c r="N81" s="19" t="b">
        <v>0</v>
      </c>
      <c r="O81" s="19" t="b">
        <v>0</v>
      </c>
      <c r="P81" s="33"/>
      <c r="Q81" s="33"/>
      <c r="R81" s="33"/>
      <c r="S81" s="33"/>
      <c r="T81" s="33"/>
      <c r="U81" s="7" t="str">
        <f>IFERROR(VLOOKUP(P81,Scoring!$C$7:$E$10,2,FALSE),"")</f>
        <v/>
      </c>
      <c r="V81" s="7" t="str">
        <f>IFERROR(VLOOKUP(Q81,Scoring!$C$12:$E$15,2,FALSE),"")</f>
        <v/>
      </c>
      <c r="W81" s="7" t="str">
        <f>IFERROR(VLOOKUP(R81,Scoring!$C$17:$E$20,2,FALSE),"")</f>
        <v/>
      </c>
      <c r="X81" s="7" t="str">
        <f>IFERROR(VLOOKUP(S81,Scoring!$C$22:$E$25,2,FALSE),"")</f>
        <v/>
      </c>
      <c r="Y81" s="7" t="str">
        <f>IFERROR(VLOOKUP(T81,Scoring!$C$27:$E$30,2,FALSE),"")</f>
        <v/>
      </c>
      <c r="Z81" s="7">
        <f t="shared" si="8"/>
        <v>0</v>
      </c>
      <c r="AA81" s="8" t="str">
        <f t="shared" si="9"/>
        <v>D</v>
      </c>
      <c r="AB81" s="8" t="str">
        <f t="shared" si="10"/>
        <v>Hold</v>
      </c>
    </row>
    <row r="82" spans="1:28">
      <c r="A82" s="33">
        <v>77</v>
      </c>
      <c r="B82" s="33"/>
      <c r="C82" s="33"/>
      <c r="D82" s="25"/>
      <c r="E82" s="33"/>
      <c r="F82" s="25"/>
      <c r="G82" s="33"/>
      <c r="H82" s="33"/>
      <c r="I82" s="25">
        <f t="shared" si="7"/>
        <v>0</v>
      </c>
      <c r="J82" s="33"/>
      <c r="K82" s="33"/>
      <c r="L82" s="33"/>
      <c r="M82" s="19" t="b">
        <v>0</v>
      </c>
      <c r="N82" s="19" t="b">
        <v>0</v>
      </c>
      <c r="O82" s="19" t="b">
        <v>0</v>
      </c>
      <c r="P82" s="33"/>
      <c r="Q82" s="33"/>
      <c r="R82" s="33"/>
      <c r="S82" s="33"/>
      <c r="T82" s="33"/>
      <c r="U82" s="7" t="str">
        <f>IFERROR(VLOOKUP(P82,Scoring!$C$7:$E$10,2,FALSE),"")</f>
        <v/>
      </c>
      <c r="V82" s="7" t="str">
        <f>IFERROR(VLOOKUP(Q82,Scoring!$C$12:$E$15,2,FALSE),"")</f>
        <v/>
      </c>
      <c r="W82" s="7" t="str">
        <f>IFERROR(VLOOKUP(R82,Scoring!$C$17:$E$20,2,FALSE),"")</f>
        <v/>
      </c>
      <c r="X82" s="7" t="str">
        <f>IFERROR(VLOOKUP(S82,Scoring!$C$22:$E$25,2,FALSE),"")</f>
        <v/>
      </c>
      <c r="Y82" s="7" t="str">
        <f>IFERROR(VLOOKUP(T82,Scoring!$C$27:$E$30,2,FALSE),"")</f>
        <v/>
      </c>
      <c r="Z82" s="7">
        <f t="shared" si="8"/>
        <v>0</v>
      </c>
      <c r="AA82" s="8" t="str">
        <f t="shared" si="9"/>
        <v>D</v>
      </c>
      <c r="AB82" s="8" t="str">
        <f t="shared" si="10"/>
        <v>Hold</v>
      </c>
    </row>
    <row r="83" spans="1:28">
      <c r="A83" s="33">
        <v>78</v>
      </c>
      <c r="B83" s="33"/>
      <c r="C83" s="33"/>
      <c r="D83" s="25"/>
      <c r="E83" s="33"/>
      <c r="F83" s="25"/>
      <c r="G83" s="33"/>
      <c r="H83" s="33"/>
      <c r="I83" s="25">
        <f t="shared" si="7"/>
        <v>0</v>
      </c>
      <c r="J83" s="33"/>
      <c r="K83" s="33"/>
      <c r="L83" s="33"/>
      <c r="M83" s="19" t="b">
        <v>0</v>
      </c>
      <c r="N83" s="19" t="b">
        <v>0</v>
      </c>
      <c r="O83" s="19" t="b">
        <v>0</v>
      </c>
      <c r="P83" s="33"/>
      <c r="Q83" s="33"/>
      <c r="R83" s="33"/>
      <c r="S83" s="33"/>
      <c r="T83" s="33"/>
      <c r="U83" s="7" t="str">
        <f>IFERROR(VLOOKUP(P83,Scoring!$C$7:$E$10,2,FALSE),"")</f>
        <v/>
      </c>
      <c r="V83" s="7" t="str">
        <f>IFERROR(VLOOKUP(Q83,Scoring!$C$12:$E$15,2,FALSE),"")</f>
        <v/>
      </c>
      <c r="W83" s="7" t="str">
        <f>IFERROR(VLOOKUP(R83,Scoring!$C$17:$E$20,2,FALSE),"")</f>
        <v/>
      </c>
      <c r="X83" s="7" t="str">
        <f>IFERROR(VLOOKUP(S83,Scoring!$C$22:$E$25,2,FALSE),"")</f>
        <v/>
      </c>
      <c r="Y83" s="7" t="str">
        <f>IFERROR(VLOOKUP(T83,Scoring!$C$27:$E$30,2,FALSE),"")</f>
        <v/>
      </c>
      <c r="Z83" s="7">
        <f t="shared" si="8"/>
        <v>0</v>
      </c>
      <c r="AA83" s="8" t="str">
        <f t="shared" si="9"/>
        <v>D</v>
      </c>
      <c r="AB83" s="8" t="str">
        <f t="shared" si="10"/>
        <v>Hold</v>
      </c>
    </row>
    <row r="84" spans="1:28">
      <c r="A84" s="33">
        <v>79</v>
      </c>
      <c r="B84" s="33"/>
      <c r="C84" s="33"/>
      <c r="D84" s="25"/>
      <c r="E84" s="33"/>
      <c r="F84" s="25"/>
      <c r="G84" s="33"/>
      <c r="H84" s="33"/>
      <c r="I84" s="25">
        <f t="shared" si="7"/>
        <v>0</v>
      </c>
      <c r="J84" s="33"/>
      <c r="K84" s="33"/>
      <c r="L84" s="33"/>
      <c r="M84" s="19" t="b">
        <v>0</v>
      </c>
      <c r="N84" s="19" t="b">
        <v>0</v>
      </c>
      <c r="O84" s="19" t="b">
        <v>0</v>
      </c>
      <c r="P84" s="33"/>
      <c r="Q84" s="33"/>
      <c r="R84" s="33"/>
      <c r="S84" s="33"/>
      <c r="T84" s="33"/>
      <c r="U84" s="7" t="str">
        <f>IFERROR(VLOOKUP(P84,Scoring!$C$7:$E$10,2,FALSE),"")</f>
        <v/>
      </c>
      <c r="V84" s="7" t="str">
        <f>IFERROR(VLOOKUP(Q84,Scoring!$C$12:$E$15,2,FALSE),"")</f>
        <v/>
      </c>
      <c r="W84" s="7" t="str">
        <f>IFERROR(VLOOKUP(R84,Scoring!$C$17:$E$20,2,FALSE),"")</f>
        <v/>
      </c>
      <c r="X84" s="7" t="str">
        <f>IFERROR(VLOOKUP(S84,Scoring!$C$22:$E$25,2,FALSE),"")</f>
        <v/>
      </c>
      <c r="Y84" s="7" t="str">
        <f>IFERROR(VLOOKUP(T84,Scoring!$C$27:$E$30,2,FALSE),"")</f>
        <v/>
      </c>
      <c r="Z84" s="7">
        <f t="shared" si="8"/>
        <v>0</v>
      </c>
      <c r="AA84" s="8" t="str">
        <f t="shared" si="9"/>
        <v>D</v>
      </c>
      <c r="AB84" s="8" t="str">
        <f t="shared" si="10"/>
        <v>Hold</v>
      </c>
    </row>
    <row r="85" spans="1:28">
      <c r="A85" s="33">
        <v>80</v>
      </c>
      <c r="B85" s="33"/>
      <c r="C85" s="33"/>
      <c r="D85" s="25"/>
      <c r="E85" s="33"/>
      <c r="F85" s="25"/>
      <c r="G85" s="33"/>
      <c r="H85" s="33"/>
      <c r="I85" s="25">
        <f t="shared" si="7"/>
        <v>0</v>
      </c>
      <c r="J85" s="33"/>
      <c r="K85" s="33"/>
      <c r="L85" s="33"/>
      <c r="M85" s="19" t="b">
        <v>0</v>
      </c>
      <c r="N85" s="19" t="b">
        <v>0</v>
      </c>
      <c r="O85" s="19" t="b">
        <v>0</v>
      </c>
      <c r="P85" s="33"/>
      <c r="Q85" s="33"/>
      <c r="R85" s="33"/>
      <c r="S85" s="33"/>
      <c r="T85" s="33"/>
      <c r="U85" s="7" t="str">
        <f>IFERROR(VLOOKUP(P85,Scoring!$C$7:$E$10,2,FALSE),"")</f>
        <v/>
      </c>
      <c r="V85" s="7" t="str">
        <f>IFERROR(VLOOKUP(Q85,Scoring!$C$12:$E$15,2,FALSE),"")</f>
        <v/>
      </c>
      <c r="W85" s="7" t="str">
        <f>IFERROR(VLOOKUP(R85,Scoring!$C$17:$E$20,2,FALSE),"")</f>
        <v/>
      </c>
      <c r="X85" s="7" t="str">
        <f>IFERROR(VLOOKUP(S85,Scoring!$C$22:$E$25,2,FALSE),"")</f>
        <v/>
      </c>
      <c r="Y85" s="7" t="str">
        <f>IFERROR(VLOOKUP(T85,Scoring!$C$27:$E$30,2,FALSE),"")</f>
        <v/>
      </c>
      <c r="Z85" s="7">
        <f t="shared" si="8"/>
        <v>0</v>
      </c>
      <c r="AA85" s="8" t="str">
        <f t="shared" si="9"/>
        <v>D</v>
      </c>
      <c r="AB85" s="8" t="str">
        <f t="shared" si="10"/>
        <v>Hold</v>
      </c>
    </row>
    <row r="86" spans="1:28">
      <c r="A86" s="33">
        <v>81</v>
      </c>
      <c r="B86" s="33"/>
      <c r="C86" s="33"/>
      <c r="D86" s="25"/>
      <c r="E86" s="33"/>
      <c r="F86" s="25"/>
      <c r="G86" s="33"/>
      <c r="H86" s="33"/>
      <c r="I86" s="25">
        <f t="shared" si="7"/>
        <v>0</v>
      </c>
      <c r="J86" s="33"/>
      <c r="K86" s="33"/>
      <c r="L86" s="33"/>
      <c r="M86" s="19" t="b">
        <v>0</v>
      </c>
      <c r="N86" s="19" t="b">
        <v>0</v>
      </c>
      <c r="O86" s="19" t="b">
        <v>0</v>
      </c>
      <c r="P86" s="33"/>
      <c r="Q86" s="33"/>
      <c r="R86" s="33"/>
      <c r="S86" s="33"/>
      <c r="T86" s="33"/>
      <c r="U86" s="7" t="str">
        <f>IFERROR(VLOOKUP(P86,Scoring!$C$7:$E$10,2,FALSE),"")</f>
        <v/>
      </c>
      <c r="V86" s="7" t="str">
        <f>IFERROR(VLOOKUP(Q86,Scoring!$C$12:$E$15,2,FALSE),"")</f>
        <v/>
      </c>
      <c r="W86" s="7" t="str">
        <f>IFERROR(VLOOKUP(R86,Scoring!$C$17:$E$20,2,FALSE),"")</f>
        <v/>
      </c>
      <c r="X86" s="7" t="str">
        <f>IFERROR(VLOOKUP(S86,Scoring!$C$22:$E$25,2,FALSE),"")</f>
        <v/>
      </c>
      <c r="Y86" s="7" t="str">
        <f>IFERROR(VLOOKUP(T86,Scoring!$C$27:$E$30,2,FALSE),"")</f>
        <v/>
      </c>
      <c r="Z86" s="7">
        <f t="shared" si="8"/>
        <v>0</v>
      </c>
      <c r="AA86" s="8" t="str">
        <f t="shared" si="9"/>
        <v>D</v>
      </c>
      <c r="AB86" s="8" t="str">
        <f t="shared" si="10"/>
        <v>Hold</v>
      </c>
    </row>
    <row r="87" spans="1:28">
      <c r="A87" s="33">
        <v>82</v>
      </c>
      <c r="B87" s="33"/>
      <c r="C87" s="33"/>
      <c r="D87" s="25"/>
      <c r="E87" s="33"/>
      <c r="F87" s="25"/>
      <c r="G87" s="33"/>
      <c r="H87" s="33"/>
      <c r="I87" s="25">
        <f t="shared" si="7"/>
        <v>0</v>
      </c>
      <c r="J87" s="33"/>
      <c r="K87" s="33"/>
      <c r="L87" s="33"/>
      <c r="M87" s="19" t="b">
        <v>0</v>
      </c>
      <c r="N87" s="19" t="b">
        <v>0</v>
      </c>
      <c r="O87" s="19" t="b">
        <v>0</v>
      </c>
      <c r="P87" s="33"/>
      <c r="Q87" s="33"/>
      <c r="R87" s="33"/>
      <c r="S87" s="33"/>
      <c r="T87" s="33"/>
      <c r="U87" s="7" t="str">
        <f>IFERROR(VLOOKUP(P87,Scoring!$C$7:$E$10,2,FALSE),"")</f>
        <v/>
      </c>
      <c r="V87" s="7" t="str">
        <f>IFERROR(VLOOKUP(Q87,Scoring!$C$12:$E$15,2,FALSE),"")</f>
        <v/>
      </c>
      <c r="W87" s="7" t="str">
        <f>IFERROR(VLOOKUP(R87,Scoring!$C$17:$E$20,2,FALSE),"")</f>
        <v/>
      </c>
      <c r="X87" s="7" t="str">
        <f>IFERROR(VLOOKUP(S87,Scoring!$C$22:$E$25,2,FALSE),"")</f>
        <v/>
      </c>
      <c r="Y87" s="7" t="str">
        <f>IFERROR(VLOOKUP(T87,Scoring!$C$27:$E$30,2,FALSE),"")</f>
        <v/>
      </c>
      <c r="Z87" s="7">
        <f t="shared" si="8"/>
        <v>0</v>
      </c>
      <c r="AA87" s="8" t="str">
        <f t="shared" si="9"/>
        <v>D</v>
      </c>
      <c r="AB87" s="8" t="str">
        <f t="shared" si="10"/>
        <v>Hold</v>
      </c>
    </row>
    <row r="88" spans="1:28">
      <c r="A88" s="33">
        <v>83</v>
      </c>
      <c r="B88" s="33"/>
      <c r="C88" s="33"/>
      <c r="D88" s="25"/>
      <c r="E88" s="33"/>
      <c r="F88" s="25"/>
      <c r="G88" s="33"/>
      <c r="H88" s="33"/>
      <c r="I88" s="25">
        <f t="shared" si="7"/>
        <v>0</v>
      </c>
      <c r="J88" s="33"/>
      <c r="K88" s="33"/>
      <c r="L88" s="33"/>
      <c r="M88" s="19" t="b">
        <v>0</v>
      </c>
      <c r="N88" s="19" t="b">
        <v>0</v>
      </c>
      <c r="O88" s="19" t="b">
        <v>0</v>
      </c>
      <c r="P88" s="33"/>
      <c r="Q88" s="33"/>
      <c r="R88" s="33"/>
      <c r="S88" s="33"/>
      <c r="T88" s="33"/>
      <c r="U88" s="7" t="str">
        <f>IFERROR(VLOOKUP(P88,Scoring!$C$7:$E$10,2,FALSE),"")</f>
        <v/>
      </c>
      <c r="V88" s="7" t="str">
        <f>IFERROR(VLOOKUP(Q88,Scoring!$C$12:$E$15,2,FALSE),"")</f>
        <v/>
      </c>
      <c r="W88" s="7" t="str">
        <f>IFERROR(VLOOKUP(R88,Scoring!$C$17:$E$20,2,FALSE),"")</f>
        <v/>
      </c>
      <c r="X88" s="7" t="str">
        <f>IFERROR(VLOOKUP(S88,Scoring!$C$22:$E$25,2,FALSE),"")</f>
        <v/>
      </c>
      <c r="Y88" s="7" t="str">
        <f>IFERROR(VLOOKUP(T88,Scoring!$C$27:$E$30,2,FALSE),"")</f>
        <v/>
      </c>
      <c r="Z88" s="7">
        <f t="shared" si="8"/>
        <v>0</v>
      </c>
      <c r="AA88" s="8" t="str">
        <f t="shared" si="9"/>
        <v>D</v>
      </c>
      <c r="AB88" s="8" t="str">
        <f t="shared" si="10"/>
        <v>Hold</v>
      </c>
    </row>
    <row r="89" spans="1:28">
      <c r="A89" s="33">
        <v>84</v>
      </c>
      <c r="B89" s="33"/>
      <c r="C89" s="33"/>
      <c r="D89" s="25"/>
      <c r="E89" s="33"/>
      <c r="F89" s="25"/>
      <c r="G89" s="33"/>
      <c r="H89" s="33"/>
      <c r="I89" s="25">
        <f t="shared" si="7"/>
        <v>0</v>
      </c>
      <c r="J89" s="33"/>
      <c r="K89" s="33"/>
      <c r="L89" s="33"/>
      <c r="M89" s="19" t="b">
        <v>0</v>
      </c>
      <c r="N89" s="19" t="b">
        <v>0</v>
      </c>
      <c r="O89" s="19" t="b">
        <v>0</v>
      </c>
      <c r="P89" s="33"/>
      <c r="Q89" s="33"/>
      <c r="R89" s="33"/>
      <c r="S89" s="33"/>
      <c r="T89" s="33"/>
      <c r="U89" s="7" t="str">
        <f>IFERROR(VLOOKUP(P89,Scoring!$C$7:$E$10,2,FALSE),"")</f>
        <v/>
      </c>
      <c r="V89" s="7" t="str">
        <f>IFERROR(VLOOKUP(Q89,Scoring!$C$12:$E$15,2,FALSE),"")</f>
        <v/>
      </c>
      <c r="W89" s="7" t="str">
        <f>IFERROR(VLOOKUP(R89,Scoring!$C$17:$E$20,2,FALSE),"")</f>
        <v/>
      </c>
      <c r="X89" s="7" t="str">
        <f>IFERROR(VLOOKUP(S89,Scoring!$C$22:$E$25,2,FALSE),"")</f>
        <v/>
      </c>
      <c r="Y89" s="7" t="str">
        <f>IFERROR(VLOOKUP(T89,Scoring!$C$27:$E$30,2,FALSE),"")</f>
        <v/>
      </c>
      <c r="Z89" s="7">
        <f t="shared" si="8"/>
        <v>0</v>
      </c>
      <c r="AA89" s="8" t="str">
        <f t="shared" si="9"/>
        <v>D</v>
      </c>
      <c r="AB89" s="8" t="str">
        <f t="shared" si="10"/>
        <v>Hold</v>
      </c>
    </row>
    <row r="90" spans="1:28">
      <c r="A90" s="33">
        <v>85</v>
      </c>
      <c r="B90" s="33"/>
      <c r="C90" s="33"/>
      <c r="D90" s="25"/>
      <c r="E90" s="33"/>
      <c r="F90" s="25"/>
      <c r="G90" s="33"/>
      <c r="H90" s="33"/>
      <c r="I90" s="25">
        <f t="shared" si="7"/>
        <v>0</v>
      </c>
      <c r="J90" s="33"/>
      <c r="K90" s="33"/>
      <c r="L90" s="33"/>
      <c r="M90" s="19" t="b">
        <v>0</v>
      </c>
      <c r="N90" s="19" t="b">
        <v>0</v>
      </c>
      <c r="O90" s="19" t="b">
        <v>0</v>
      </c>
      <c r="P90" s="33"/>
      <c r="Q90" s="33"/>
      <c r="R90" s="33"/>
      <c r="S90" s="33"/>
      <c r="T90" s="33"/>
      <c r="U90" s="7" t="str">
        <f>IFERROR(VLOOKUP(P90,Scoring!$C$7:$E$10,2,FALSE),"")</f>
        <v/>
      </c>
      <c r="V90" s="7" t="str">
        <f>IFERROR(VLOOKUP(Q90,Scoring!$C$12:$E$15,2,FALSE),"")</f>
        <v/>
      </c>
      <c r="W90" s="7" t="str">
        <f>IFERROR(VLOOKUP(R90,Scoring!$C$17:$E$20,2,FALSE),"")</f>
        <v/>
      </c>
      <c r="X90" s="7" t="str">
        <f>IFERROR(VLOOKUP(S90,Scoring!$C$22:$E$25,2,FALSE),"")</f>
        <v/>
      </c>
      <c r="Y90" s="7" t="str">
        <f>IFERROR(VLOOKUP(T90,Scoring!$C$27:$E$30,2,FALSE),"")</f>
        <v/>
      </c>
      <c r="Z90" s="7">
        <f t="shared" si="8"/>
        <v>0</v>
      </c>
      <c r="AA90" s="8" t="str">
        <f t="shared" si="9"/>
        <v>D</v>
      </c>
      <c r="AB90" s="8" t="str">
        <f t="shared" si="10"/>
        <v>Hold</v>
      </c>
    </row>
    <row r="91" spans="1:28">
      <c r="A91" s="33">
        <v>86</v>
      </c>
      <c r="B91" s="33"/>
      <c r="C91" s="33"/>
      <c r="D91" s="25"/>
      <c r="E91" s="33"/>
      <c r="F91" s="25"/>
      <c r="G91" s="33"/>
      <c r="H91" s="33"/>
      <c r="I91" s="25">
        <f t="shared" si="7"/>
        <v>0</v>
      </c>
      <c r="J91" s="33"/>
      <c r="K91" s="33"/>
      <c r="L91" s="33"/>
      <c r="M91" s="19" t="b">
        <v>0</v>
      </c>
      <c r="N91" s="19" t="b">
        <v>0</v>
      </c>
      <c r="O91" s="19" t="b">
        <v>0</v>
      </c>
      <c r="P91" s="33"/>
      <c r="Q91" s="33"/>
      <c r="R91" s="33"/>
      <c r="S91" s="33"/>
      <c r="T91" s="33"/>
      <c r="U91" s="7" t="str">
        <f>IFERROR(VLOOKUP(P91,Scoring!$C$7:$E$10,2,FALSE),"")</f>
        <v/>
      </c>
      <c r="V91" s="7" t="str">
        <f>IFERROR(VLOOKUP(Q91,Scoring!$C$12:$E$15,2,FALSE),"")</f>
        <v/>
      </c>
      <c r="W91" s="7" t="str">
        <f>IFERROR(VLOOKUP(R91,Scoring!$C$17:$E$20,2,FALSE),"")</f>
        <v/>
      </c>
      <c r="X91" s="7" t="str">
        <f>IFERROR(VLOOKUP(S91,Scoring!$C$22:$E$25,2,FALSE),"")</f>
        <v/>
      </c>
      <c r="Y91" s="7" t="str">
        <f>IFERROR(VLOOKUP(T91,Scoring!$C$27:$E$30,2,FALSE),"")</f>
        <v/>
      </c>
      <c r="Z91" s="7">
        <f t="shared" si="8"/>
        <v>0</v>
      </c>
      <c r="AA91" s="8" t="str">
        <f t="shared" si="9"/>
        <v>D</v>
      </c>
      <c r="AB91" s="8" t="str">
        <f t="shared" si="10"/>
        <v>Hold</v>
      </c>
    </row>
    <row r="92" spans="1:28">
      <c r="A92" s="33">
        <v>87</v>
      </c>
      <c r="B92" s="33"/>
      <c r="C92" s="33"/>
      <c r="D92" s="25"/>
      <c r="E92" s="33"/>
      <c r="F92" s="25"/>
      <c r="G92" s="33"/>
      <c r="H92" s="33"/>
      <c r="I92" s="25">
        <f t="shared" si="7"/>
        <v>0</v>
      </c>
      <c r="J92" s="33"/>
      <c r="K92" s="33"/>
      <c r="L92" s="33"/>
      <c r="M92" s="19" t="b">
        <v>0</v>
      </c>
      <c r="N92" s="19" t="b">
        <v>0</v>
      </c>
      <c r="O92" s="19" t="b">
        <v>0</v>
      </c>
      <c r="P92" s="33"/>
      <c r="Q92" s="33"/>
      <c r="R92" s="33"/>
      <c r="S92" s="33"/>
      <c r="T92" s="33"/>
      <c r="U92" s="7" t="str">
        <f>IFERROR(VLOOKUP(P92,Scoring!$C$7:$E$10,2,FALSE),"")</f>
        <v/>
      </c>
      <c r="V92" s="7" t="str">
        <f>IFERROR(VLOOKUP(Q92,Scoring!$C$12:$E$15,2,FALSE),"")</f>
        <v/>
      </c>
      <c r="W92" s="7" t="str">
        <f>IFERROR(VLOOKUP(R92,Scoring!$C$17:$E$20,2,FALSE),"")</f>
        <v/>
      </c>
      <c r="X92" s="7" t="str">
        <f>IFERROR(VLOOKUP(S92,Scoring!$C$22:$E$25,2,FALSE),"")</f>
        <v/>
      </c>
      <c r="Y92" s="7" t="str">
        <f>IFERROR(VLOOKUP(T92,Scoring!$C$27:$E$30,2,FALSE),"")</f>
        <v/>
      </c>
      <c r="Z92" s="7">
        <f t="shared" si="8"/>
        <v>0</v>
      </c>
      <c r="AA92" s="8" t="str">
        <f t="shared" si="9"/>
        <v>D</v>
      </c>
      <c r="AB92" s="8" t="str">
        <f t="shared" si="10"/>
        <v>Hold</v>
      </c>
    </row>
    <row r="93" spans="1:28">
      <c r="A93" s="33">
        <v>88</v>
      </c>
      <c r="B93" s="33"/>
      <c r="C93" s="33"/>
      <c r="D93" s="25"/>
      <c r="E93" s="33"/>
      <c r="F93" s="25"/>
      <c r="G93" s="33"/>
      <c r="H93" s="33"/>
      <c r="I93" s="25">
        <f t="shared" si="7"/>
        <v>0</v>
      </c>
      <c r="J93" s="33"/>
      <c r="K93" s="33"/>
      <c r="L93" s="33"/>
      <c r="M93" s="19" t="b">
        <v>0</v>
      </c>
      <c r="N93" s="19" t="b">
        <v>0</v>
      </c>
      <c r="O93" s="19" t="b">
        <v>0</v>
      </c>
      <c r="P93" s="33"/>
      <c r="Q93" s="33"/>
      <c r="R93" s="33"/>
      <c r="S93" s="33"/>
      <c r="T93" s="33"/>
      <c r="U93" s="7" t="str">
        <f>IFERROR(VLOOKUP(P93,Scoring!$C$7:$E$10,2,FALSE),"")</f>
        <v/>
      </c>
      <c r="V93" s="7" t="str">
        <f>IFERROR(VLOOKUP(Q93,Scoring!$C$12:$E$15,2,FALSE),"")</f>
        <v/>
      </c>
      <c r="W93" s="7" t="str">
        <f>IFERROR(VLOOKUP(R93,Scoring!$C$17:$E$20,2,FALSE),"")</f>
        <v/>
      </c>
      <c r="X93" s="7" t="str">
        <f>IFERROR(VLOOKUP(S93,Scoring!$C$22:$E$25,2,FALSE),"")</f>
        <v/>
      </c>
      <c r="Y93" s="7" t="str">
        <f>IFERROR(VLOOKUP(T93,Scoring!$C$27:$E$30,2,FALSE),"")</f>
        <v/>
      </c>
      <c r="Z93" s="7">
        <f t="shared" si="8"/>
        <v>0</v>
      </c>
      <c r="AA93" s="8" t="str">
        <f t="shared" si="9"/>
        <v>D</v>
      </c>
      <c r="AB93" s="8" t="str">
        <f t="shared" si="10"/>
        <v>Hold</v>
      </c>
    </row>
    <row r="94" spans="1:28">
      <c r="A94" s="33">
        <v>89</v>
      </c>
      <c r="B94" s="33"/>
      <c r="C94" s="33"/>
      <c r="D94" s="25"/>
      <c r="E94" s="33"/>
      <c r="F94" s="25"/>
      <c r="G94" s="33"/>
      <c r="H94" s="33"/>
      <c r="I94" s="25">
        <f t="shared" si="7"/>
        <v>0</v>
      </c>
      <c r="J94" s="33"/>
      <c r="K94" s="33"/>
      <c r="L94" s="33"/>
      <c r="M94" s="19" t="b">
        <v>0</v>
      </c>
      <c r="N94" s="19" t="b">
        <v>0</v>
      </c>
      <c r="O94" s="19" t="b">
        <v>0</v>
      </c>
      <c r="P94" s="33"/>
      <c r="Q94" s="33"/>
      <c r="R94" s="33"/>
      <c r="S94" s="33"/>
      <c r="T94" s="33"/>
      <c r="U94" s="7" t="str">
        <f>IFERROR(VLOOKUP(P94,Scoring!$C$7:$E$10,2,FALSE),"")</f>
        <v/>
      </c>
      <c r="V94" s="7" t="str">
        <f>IFERROR(VLOOKUP(Q94,Scoring!$C$12:$E$15,2,FALSE),"")</f>
        <v/>
      </c>
      <c r="W94" s="7" t="str">
        <f>IFERROR(VLOOKUP(R94,Scoring!$C$17:$E$20,2,FALSE),"")</f>
        <v/>
      </c>
      <c r="X94" s="7" t="str">
        <f>IFERROR(VLOOKUP(S94,Scoring!$C$22:$E$25,2,FALSE),"")</f>
        <v/>
      </c>
      <c r="Y94" s="7" t="str">
        <f>IFERROR(VLOOKUP(T94,Scoring!$C$27:$E$30,2,FALSE),"")</f>
        <v/>
      </c>
      <c r="Z94" s="7">
        <f t="shared" si="8"/>
        <v>0</v>
      </c>
      <c r="AA94" s="8" t="str">
        <f t="shared" si="9"/>
        <v>D</v>
      </c>
      <c r="AB94" s="8" t="str">
        <f t="shared" si="10"/>
        <v>Hold</v>
      </c>
    </row>
    <row r="95" spans="1:28">
      <c r="A95" s="33">
        <v>90</v>
      </c>
      <c r="B95" s="33"/>
      <c r="C95" s="33"/>
      <c r="D95" s="25"/>
      <c r="E95" s="33"/>
      <c r="F95" s="25"/>
      <c r="G95" s="33"/>
      <c r="H95" s="33"/>
      <c r="I95" s="25">
        <f t="shared" si="7"/>
        <v>0</v>
      </c>
      <c r="J95" s="33"/>
      <c r="K95" s="33"/>
      <c r="L95" s="33"/>
      <c r="M95" s="19" t="b">
        <v>0</v>
      </c>
      <c r="N95" s="19" t="b">
        <v>0</v>
      </c>
      <c r="O95" s="19" t="b">
        <v>0</v>
      </c>
      <c r="P95" s="33"/>
      <c r="Q95" s="33"/>
      <c r="R95" s="33"/>
      <c r="S95" s="33"/>
      <c r="T95" s="33"/>
      <c r="U95" s="7" t="str">
        <f>IFERROR(VLOOKUP(P95,Scoring!$C$7:$E$10,2,FALSE),"")</f>
        <v/>
      </c>
      <c r="V95" s="7" t="str">
        <f>IFERROR(VLOOKUP(Q95,Scoring!$C$12:$E$15,2,FALSE),"")</f>
        <v/>
      </c>
      <c r="W95" s="7" t="str">
        <f>IFERROR(VLOOKUP(R95,Scoring!$C$17:$E$20,2,FALSE),"")</f>
        <v/>
      </c>
      <c r="X95" s="7" t="str">
        <f>IFERROR(VLOOKUP(S95,Scoring!$C$22:$E$25,2,FALSE),"")</f>
        <v/>
      </c>
      <c r="Y95" s="7" t="str">
        <f>IFERROR(VLOOKUP(T95,Scoring!$C$27:$E$30,2,FALSE),"")</f>
        <v/>
      </c>
      <c r="Z95" s="7">
        <f t="shared" si="8"/>
        <v>0</v>
      </c>
      <c r="AA95" s="8" t="str">
        <f t="shared" si="9"/>
        <v>D</v>
      </c>
      <c r="AB95" s="8" t="str">
        <f t="shared" si="10"/>
        <v>Hold</v>
      </c>
    </row>
    <row r="96" spans="1:28">
      <c r="A96" s="33">
        <v>91</v>
      </c>
      <c r="B96" s="33"/>
      <c r="C96" s="33"/>
      <c r="D96" s="25"/>
      <c r="E96" s="33"/>
      <c r="F96" s="25"/>
      <c r="G96" s="33"/>
      <c r="H96" s="33"/>
      <c r="I96" s="25">
        <f t="shared" si="7"/>
        <v>0</v>
      </c>
      <c r="J96" s="33"/>
      <c r="K96" s="33"/>
      <c r="L96" s="33"/>
      <c r="M96" s="19" t="b">
        <v>0</v>
      </c>
      <c r="N96" s="19" t="b">
        <v>0</v>
      </c>
      <c r="O96" s="19" t="b">
        <v>0</v>
      </c>
      <c r="P96" s="33"/>
      <c r="Q96" s="33"/>
      <c r="R96" s="33"/>
      <c r="S96" s="33"/>
      <c r="T96" s="33"/>
      <c r="U96" s="7" t="str">
        <f>IFERROR(VLOOKUP(P96,Scoring!$C$7:$E$10,2,FALSE),"")</f>
        <v/>
      </c>
      <c r="V96" s="7" t="str">
        <f>IFERROR(VLOOKUP(Q96,Scoring!$C$12:$E$15,2,FALSE),"")</f>
        <v/>
      </c>
      <c r="W96" s="7" t="str">
        <f>IFERROR(VLOOKUP(R96,Scoring!$C$17:$E$20,2,FALSE),"")</f>
        <v/>
      </c>
      <c r="X96" s="7" t="str">
        <f>IFERROR(VLOOKUP(S96,Scoring!$C$22:$E$25,2,FALSE),"")</f>
        <v/>
      </c>
      <c r="Y96" s="7" t="str">
        <f>IFERROR(VLOOKUP(T96,Scoring!$C$27:$E$30,2,FALSE),"")</f>
        <v/>
      </c>
      <c r="Z96" s="7">
        <f t="shared" si="8"/>
        <v>0</v>
      </c>
      <c r="AA96" s="8" t="str">
        <f t="shared" si="9"/>
        <v>D</v>
      </c>
      <c r="AB96" s="8" t="str">
        <f t="shared" si="10"/>
        <v>Hold</v>
      </c>
    </row>
    <row r="97" spans="1:28">
      <c r="A97" s="33">
        <v>92</v>
      </c>
      <c r="B97" s="33"/>
      <c r="C97" s="33"/>
      <c r="D97" s="25"/>
      <c r="E97" s="33"/>
      <c r="F97" s="25"/>
      <c r="G97" s="33"/>
      <c r="H97" s="33"/>
      <c r="I97" s="25">
        <f t="shared" si="7"/>
        <v>0</v>
      </c>
      <c r="J97" s="33"/>
      <c r="K97" s="33"/>
      <c r="L97" s="33"/>
      <c r="M97" s="19" t="b">
        <v>0</v>
      </c>
      <c r="N97" s="19" t="b">
        <v>0</v>
      </c>
      <c r="O97" s="19" t="b">
        <v>0</v>
      </c>
      <c r="P97" s="33"/>
      <c r="Q97" s="33"/>
      <c r="R97" s="33"/>
      <c r="S97" s="33"/>
      <c r="T97" s="33"/>
      <c r="U97" s="7" t="str">
        <f>IFERROR(VLOOKUP(P97,Scoring!$C$7:$E$10,2,FALSE),"")</f>
        <v/>
      </c>
      <c r="V97" s="7" t="str">
        <f>IFERROR(VLOOKUP(Q97,Scoring!$C$12:$E$15,2,FALSE),"")</f>
        <v/>
      </c>
      <c r="W97" s="7" t="str">
        <f>IFERROR(VLOOKUP(R97,Scoring!$C$17:$E$20,2,FALSE),"")</f>
        <v/>
      </c>
      <c r="X97" s="7" t="str">
        <f>IFERROR(VLOOKUP(S97,Scoring!$C$22:$E$25,2,FALSE),"")</f>
        <v/>
      </c>
      <c r="Y97" s="7" t="str">
        <f>IFERROR(VLOOKUP(T97,Scoring!$C$27:$E$30,2,FALSE),"")</f>
        <v/>
      </c>
      <c r="Z97" s="7">
        <f t="shared" si="8"/>
        <v>0</v>
      </c>
      <c r="AA97" s="8" t="str">
        <f t="shared" si="9"/>
        <v>D</v>
      </c>
      <c r="AB97" s="8" t="str">
        <f t="shared" si="10"/>
        <v>Hold</v>
      </c>
    </row>
    <row r="98" spans="1:28">
      <c r="A98" s="33">
        <v>93</v>
      </c>
      <c r="B98" s="33"/>
      <c r="C98" s="33"/>
      <c r="D98" s="25"/>
      <c r="E98" s="33"/>
      <c r="F98" s="25"/>
      <c r="G98" s="33"/>
      <c r="H98" s="33"/>
      <c r="I98" s="25">
        <f t="shared" si="7"/>
        <v>0</v>
      </c>
      <c r="J98" s="33"/>
      <c r="K98" s="33"/>
      <c r="L98" s="33"/>
      <c r="M98" s="19" t="b">
        <v>0</v>
      </c>
      <c r="N98" s="19" t="b">
        <v>0</v>
      </c>
      <c r="O98" s="19" t="b">
        <v>0</v>
      </c>
      <c r="P98" s="33"/>
      <c r="Q98" s="33"/>
      <c r="R98" s="33"/>
      <c r="S98" s="33"/>
      <c r="T98" s="33"/>
      <c r="U98" s="7" t="str">
        <f>IFERROR(VLOOKUP(P98,Scoring!$C$7:$E$10,2,FALSE),"")</f>
        <v/>
      </c>
      <c r="V98" s="7" t="str">
        <f>IFERROR(VLOOKUP(Q98,Scoring!$C$12:$E$15,2,FALSE),"")</f>
        <v/>
      </c>
      <c r="W98" s="7" t="str">
        <f>IFERROR(VLOOKUP(R98,Scoring!$C$17:$E$20,2,FALSE),"")</f>
        <v/>
      </c>
      <c r="X98" s="7" t="str">
        <f>IFERROR(VLOOKUP(S98,Scoring!$C$22:$E$25,2,FALSE),"")</f>
        <v/>
      </c>
      <c r="Y98" s="7" t="str">
        <f>IFERROR(VLOOKUP(T98,Scoring!$C$27:$E$30,2,FALSE),"")</f>
        <v/>
      </c>
      <c r="Z98" s="7">
        <f t="shared" si="8"/>
        <v>0</v>
      </c>
      <c r="AA98" s="8" t="str">
        <f t="shared" si="9"/>
        <v>D</v>
      </c>
      <c r="AB98" s="8" t="str">
        <f t="shared" si="10"/>
        <v>Hold</v>
      </c>
    </row>
    <row r="99" spans="1:28">
      <c r="A99" s="33">
        <v>94</v>
      </c>
      <c r="B99" s="33"/>
      <c r="C99" s="33"/>
      <c r="D99" s="25"/>
      <c r="E99" s="33"/>
      <c r="F99" s="25"/>
      <c r="G99" s="33"/>
      <c r="H99" s="33"/>
      <c r="I99" s="25">
        <f t="shared" si="7"/>
        <v>0</v>
      </c>
      <c r="J99" s="33"/>
      <c r="K99" s="33"/>
      <c r="L99" s="33"/>
      <c r="M99" s="19" t="b">
        <v>0</v>
      </c>
      <c r="N99" s="19" t="b">
        <v>0</v>
      </c>
      <c r="O99" s="19" t="b">
        <v>0</v>
      </c>
      <c r="P99" s="33"/>
      <c r="Q99" s="33"/>
      <c r="R99" s="33"/>
      <c r="S99" s="33"/>
      <c r="T99" s="33"/>
      <c r="U99" s="7" t="str">
        <f>IFERROR(VLOOKUP(P99,Scoring!$C$7:$E$10,2,FALSE),"")</f>
        <v/>
      </c>
      <c r="V99" s="7" t="str">
        <f>IFERROR(VLOOKUP(Q99,Scoring!$C$12:$E$15,2,FALSE),"")</f>
        <v/>
      </c>
      <c r="W99" s="7" t="str">
        <f>IFERROR(VLOOKUP(R99,Scoring!$C$17:$E$20,2,FALSE),"")</f>
        <v/>
      </c>
      <c r="X99" s="7" t="str">
        <f>IFERROR(VLOOKUP(S99,Scoring!$C$22:$E$25,2,FALSE),"")</f>
        <v/>
      </c>
      <c r="Y99" s="7" t="str">
        <f>IFERROR(VLOOKUP(T99,Scoring!$C$27:$E$30,2,FALSE),"")</f>
        <v/>
      </c>
      <c r="Z99" s="7">
        <f t="shared" si="8"/>
        <v>0</v>
      </c>
      <c r="AA99" s="8" t="str">
        <f t="shared" si="9"/>
        <v>D</v>
      </c>
      <c r="AB99" s="8" t="str">
        <f t="shared" si="10"/>
        <v>Hold</v>
      </c>
    </row>
    <row r="100" spans="1:28">
      <c r="A100" s="33">
        <v>95</v>
      </c>
      <c r="B100" s="33"/>
      <c r="C100" s="33"/>
      <c r="D100" s="25"/>
      <c r="E100" s="33"/>
      <c r="F100" s="25"/>
      <c r="G100" s="33"/>
      <c r="H100" s="33"/>
      <c r="I100" s="25">
        <f t="shared" si="7"/>
        <v>0</v>
      </c>
      <c r="J100" s="33"/>
      <c r="K100" s="33"/>
      <c r="L100" s="33"/>
      <c r="M100" s="19" t="b">
        <v>0</v>
      </c>
      <c r="N100" s="19" t="b">
        <v>0</v>
      </c>
      <c r="O100" s="19" t="b">
        <v>0</v>
      </c>
      <c r="P100" s="33"/>
      <c r="Q100" s="33"/>
      <c r="R100" s="33"/>
      <c r="S100" s="33"/>
      <c r="T100" s="33"/>
      <c r="U100" s="7" t="str">
        <f>IFERROR(VLOOKUP(P100,Scoring!$C$7:$E$10,2,FALSE),"")</f>
        <v/>
      </c>
      <c r="V100" s="7" t="str">
        <f>IFERROR(VLOOKUP(Q100,Scoring!$C$12:$E$15,2,FALSE),"")</f>
        <v/>
      </c>
      <c r="W100" s="7" t="str">
        <f>IFERROR(VLOOKUP(R100,Scoring!$C$17:$E$20,2,FALSE),"")</f>
        <v/>
      </c>
      <c r="X100" s="7" t="str">
        <f>IFERROR(VLOOKUP(S100,Scoring!$C$22:$E$25,2,FALSE),"")</f>
        <v/>
      </c>
      <c r="Y100" s="7" t="str">
        <f>IFERROR(VLOOKUP(T100,Scoring!$C$27:$E$30,2,FALSE),"")</f>
        <v/>
      </c>
      <c r="Z100" s="7">
        <f t="shared" si="8"/>
        <v>0</v>
      </c>
      <c r="AA100" s="8" t="str">
        <f t="shared" si="9"/>
        <v>D</v>
      </c>
      <c r="AB100" s="8" t="str">
        <f t="shared" si="10"/>
        <v>Hold</v>
      </c>
    </row>
    <row r="101" spans="1:28">
      <c r="A101" s="33">
        <v>96</v>
      </c>
      <c r="B101" s="33"/>
      <c r="C101" s="33"/>
      <c r="D101" s="25"/>
      <c r="E101" s="33"/>
      <c r="F101" s="25"/>
      <c r="G101" s="33"/>
      <c r="H101" s="33"/>
      <c r="I101" s="25">
        <f t="shared" si="7"/>
        <v>0</v>
      </c>
      <c r="J101" s="33"/>
      <c r="K101" s="33"/>
      <c r="L101" s="33"/>
      <c r="M101" s="19" t="b">
        <v>0</v>
      </c>
      <c r="N101" s="19" t="b">
        <v>0</v>
      </c>
      <c r="O101" s="19" t="b">
        <v>0</v>
      </c>
      <c r="P101" s="33"/>
      <c r="Q101" s="33"/>
      <c r="R101" s="33"/>
      <c r="S101" s="33"/>
      <c r="T101" s="33"/>
      <c r="U101" s="7" t="str">
        <f>IFERROR(VLOOKUP(P101,Scoring!$C$7:$E$10,2,FALSE),"")</f>
        <v/>
      </c>
      <c r="V101" s="7" t="str">
        <f>IFERROR(VLOOKUP(Q101,Scoring!$C$12:$E$15,2,FALSE),"")</f>
        <v/>
      </c>
      <c r="W101" s="7" t="str">
        <f>IFERROR(VLOOKUP(R101,Scoring!$C$17:$E$20,2,FALSE),"")</f>
        <v/>
      </c>
      <c r="X101" s="7" t="str">
        <f>IFERROR(VLOOKUP(S101,Scoring!$C$22:$E$25,2,FALSE),"")</f>
        <v/>
      </c>
      <c r="Y101" s="7" t="str">
        <f>IFERROR(VLOOKUP(T101,Scoring!$C$27:$E$30,2,FALSE),"")</f>
        <v/>
      </c>
      <c r="Z101" s="7">
        <f t="shared" si="8"/>
        <v>0</v>
      </c>
      <c r="AA101" s="8" t="str">
        <f t="shared" si="9"/>
        <v>D</v>
      </c>
      <c r="AB101" s="8" t="str">
        <f t="shared" si="10"/>
        <v>Hold</v>
      </c>
    </row>
    <row r="102" spans="1:28">
      <c r="A102" s="33">
        <v>97</v>
      </c>
      <c r="B102" s="33"/>
      <c r="C102" s="33"/>
      <c r="D102" s="25"/>
      <c r="E102" s="33"/>
      <c r="F102" s="25"/>
      <c r="G102" s="33"/>
      <c r="H102" s="33"/>
      <c r="I102" s="25">
        <f t="shared" si="7"/>
        <v>0</v>
      </c>
      <c r="J102" s="33"/>
      <c r="K102" s="33"/>
      <c r="L102" s="33"/>
      <c r="M102" s="19" t="b">
        <v>0</v>
      </c>
      <c r="N102" s="19" t="b">
        <v>0</v>
      </c>
      <c r="O102" s="19" t="b">
        <v>0</v>
      </c>
      <c r="P102" s="33"/>
      <c r="Q102" s="33"/>
      <c r="R102" s="33"/>
      <c r="S102" s="33"/>
      <c r="T102" s="33"/>
      <c r="U102" s="7" t="str">
        <f>IFERROR(VLOOKUP(P102,Scoring!$C$7:$E$10,2,FALSE),"")</f>
        <v/>
      </c>
      <c r="V102" s="7" t="str">
        <f>IFERROR(VLOOKUP(Q102,Scoring!$C$12:$E$15,2,FALSE),"")</f>
        <v/>
      </c>
      <c r="W102" s="7" t="str">
        <f>IFERROR(VLOOKUP(R102,Scoring!$C$17:$E$20,2,FALSE),"")</f>
        <v/>
      </c>
      <c r="X102" s="7" t="str">
        <f>IFERROR(VLOOKUP(S102,Scoring!$C$22:$E$25,2,FALSE),"")</f>
        <v/>
      </c>
      <c r="Y102" s="7" t="str">
        <f>IFERROR(VLOOKUP(T102,Scoring!$C$27:$E$30,2,FALSE),"")</f>
        <v/>
      </c>
      <c r="Z102" s="7">
        <f t="shared" si="8"/>
        <v>0</v>
      </c>
      <c r="AA102" s="8" t="str">
        <f t="shared" si="9"/>
        <v>D</v>
      </c>
      <c r="AB102" s="8" t="str">
        <f t="shared" si="10"/>
        <v>Hold</v>
      </c>
    </row>
    <row r="103" spans="1:28">
      <c r="A103" s="33">
        <v>98</v>
      </c>
      <c r="B103" s="33"/>
      <c r="C103" s="33"/>
      <c r="D103" s="25"/>
      <c r="E103" s="33"/>
      <c r="F103" s="25"/>
      <c r="G103" s="33"/>
      <c r="H103" s="33"/>
      <c r="I103" s="25">
        <f t="shared" si="7"/>
        <v>0</v>
      </c>
      <c r="J103" s="33"/>
      <c r="K103" s="33"/>
      <c r="L103" s="33"/>
      <c r="M103" s="19" t="b">
        <v>0</v>
      </c>
      <c r="N103" s="19" t="b">
        <v>0</v>
      </c>
      <c r="O103" s="19" t="b">
        <v>0</v>
      </c>
      <c r="P103" s="33"/>
      <c r="Q103" s="33"/>
      <c r="R103" s="33"/>
      <c r="S103" s="33"/>
      <c r="T103" s="33"/>
      <c r="U103" s="7" t="str">
        <f>IFERROR(VLOOKUP(P103,Scoring!$C$7:$E$10,2,FALSE),"")</f>
        <v/>
      </c>
      <c r="V103" s="7" t="str">
        <f>IFERROR(VLOOKUP(Q103,Scoring!$C$12:$E$15,2,FALSE),"")</f>
        <v/>
      </c>
      <c r="W103" s="7" t="str">
        <f>IFERROR(VLOOKUP(R103,Scoring!$C$17:$E$20,2,FALSE),"")</f>
        <v/>
      </c>
      <c r="X103" s="7" t="str">
        <f>IFERROR(VLOOKUP(S103,Scoring!$C$22:$E$25,2,FALSE),"")</f>
        <v/>
      </c>
      <c r="Y103" s="7" t="str">
        <f>IFERROR(VLOOKUP(T103,Scoring!$C$27:$E$30,2,FALSE),"")</f>
        <v/>
      </c>
      <c r="Z103" s="7">
        <f t="shared" si="8"/>
        <v>0</v>
      </c>
      <c r="AA103" s="8" t="str">
        <f t="shared" si="9"/>
        <v>D</v>
      </c>
      <c r="AB103" s="8" t="str">
        <f t="shared" si="10"/>
        <v>Hold</v>
      </c>
    </row>
    <row r="104" spans="1:28">
      <c r="A104" s="33">
        <v>99</v>
      </c>
      <c r="B104" s="33"/>
      <c r="C104" s="33"/>
      <c r="D104" s="25"/>
      <c r="E104" s="33"/>
      <c r="F104" s="25"/>
      <c r="G104" s="33"/>
      <c r="H104" s="33"/>
      <c r="I104" s="25">
        <f t="shared" si="7"/>
        <v>0</v>
      </c>
      <c r="J104" s="33"/>
      <c r="K104" s="33"/>
      <c r="L104" s="33"/>
      <c r="M104" s="19" t="b">
        <v>0</v>
      </c>
      <c r="N104" s="19" t="b">
        <v>0</v>
      </c>
      <c r="O104" s="19" t="b">
        <v>0</v>
      </c>
      <c r="P104" s="33"/>
      <c r="Q104" s="33"/>
      <c r="R104" s="33"/>
      <c r="S104" s="33"/>
      <c r="T104" s="33"/>
      <c r="U104" s="7" t="str">
        <f>IFERROR(VLOOKUP(P104,Scoring!$C$7:$E$10,2,FALSE),"")</f>
        <v/>
      </c>
      <c r="V104" s="7" t="str">
        <f>IFERROR(VLOOKUP(Q104,Scoring!$C$12:$E$15,2,FALSE),"")</f>
        <v/>
      </c>
      <c r="W104" s="7" t="str">
        <f>IFERROR(VLOOKUP(R104,Scoring!$C$17:$E$20,2,FALSE),"")</f>
        <v/>
      </c>
      <c r="X104" s="7" t="str">
        <f>IFERROR(VLOOKUP(S104,Scoring!$C$22:$E$25,2,FALSE),"")</f>
        <v/>
      </c>
      <c r="Y104" s="7" t="str">
        <f>IFERROR(VLOOKUP(T104,Scoring!$C$27:$E$30,2,FALSE),"")</f>
        <v/>
      </c>
      <c r="Z104" s="7">
        <f t="shared" si="8"/>
        <v>0</v>
      </c>
      <c r="AA104" s="8" t="str">
        <f t="shared" si="9"/>
        <v>D</v>
      </c>
      <c r="AB104" s="8" t="str">
        <f t="shared" si="10"/>
        <v>Hold</v>
      </c>
    </row>
    <row r="105" spans="1:28">
      <c r="A105" s="33">
        <v>100</v>
      </c>
      <c r="B105" s="33"/>
      <c r="C105" s="33"/>
      <c r="D105" s="25"/>
      <c r="E105" s="33"/>
      <c r="F105" s="25"/>
      <c r="G105" s="33"/>
      <c r="H105" s="33"/>
      <c r="I105" s="25">
        <f t="shared" si="7"/>
        <v>0</v>
      </c>
      <c r="J105" s="33"/>
      <c r="K105" s="33"/>
      <c r="L105" s="33"/>
      <c r="M105" s="19" t="b">
        <v>0</v>
      </c>
      <c r="N105" s="19" t="b">
        <v>0</v>
      </c>
      <c r="O105" s="19" t="b">
        <v>0</v>
      </c>
      <c r="P105" s="33"/>
      <c r="Q105" s="33"/>
      <c r="R105" s="33"/>
      <c r="S105" s="33"/>
      <c r="T105" s="33"/>
      <c r="U105" s="7" t="str">
        <f>IFERROR(VLOOKUP(P105,Scoring!$C$7:$E$10,2,FALSE),"")</f>
        <v/>
      </c>
      <c r="V105" s="7" t="str">
        <f>IFERROR(VLOOKUP(Q105,Scoring!$C$12:$E$15,2,FALSE),"")</f>
        <v/>
      </c>
      <c r="W105" s="7" t="str">
        <f>IFERROR(VLOOKUP(R105,Scoring!$C$17:$E$20,2,FALSE),"")</f>
        <v/>
      </c>
      <c r="X105" s="7" t="str">
        <f>IFERROR(VLOOKUP(S105,Scoring!$C$22:$E$25,2,FALSE),"")</f>
        <v/>
      </c>
      <c r="Y105" s="7" t="str">
        <f>IFERROR(VLOOKUP(T105,Scoring!$C$27:$E$30,2,FALSE),"")</f>
        <v/>
      </c>
      <c r="Z105" s="7">
        <f t="shared" si="8"/>
        <v>0</v>
      </c>
      <c r="AA105" s="8" t="str">
        <f t="shared" si="9"/>
        <v>D</v>
      </c>
      <c r="AB105" s="8" t="str">
        <f t="shared" si="10"/>
        <v>Hold</v>
      </c>
    </row>
  </sheetData>
  <mergeCells count="5">
    <mergeCell ref="A1:C1"/>
    <mergeCell ref="A2:B2"/>
    <mergeCell ref="A3:B3"/>
    <mergeCell ref="Z1:AB3"/>
    <mergeCell ref="D1:T1"/>
  </mergeCells>
  <dataValidations count="3">
    <dataValidation type="list" allowBlank="1" showInputMessage="1" showErrorMessage="1" sqref="E5:E105" xr:uid="{7F845269-5E48-4BC8-9375-F3C0B14EEEC2}">
      <formula1>"RHD,LHD"</formula1>
    </dataValidation>
    <dataValidation type="list" allowBlank="1" showInputMessage="1" showErrorMessage="1" sqref="F5:F105" xr:uid="{24190701-B7DE-4012-A261-5ED2C17AEA1C}">
      <formula1>"Export,Domestic"</formula1>
    </dataValidation>
    <dataValidation type="list" allowBlank="1" showInputMessage="1" showErrorMessage="1" sqref="D5:D105" xr:uid="{ACC9C22A-B5E6-4CA0-8071-8590CFAA9E1D}">
      <formula1>"BIW,Hangeons,Assy Part"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3CA68A93-1717-4458-A582-DF2047FE7032}">
          <x14:formula1>
            <xm:f>Scoring!$C$28:$C$30</xm:f>
          </x14:formula1>
          <xm:sqref>T5:T105</xm:sqref>
        </x14:dataValidation>
        <x14:dataValidation type="list" xr:uid="{AFB0A0C2-8060-46D5-8C8B-EF52372AE866}">
          <x14:formula1>
            <xm:f>Scoring!$C$23:$C$25</xm:f>
          </x14:formula1>
          <xm:sqref>S5:S105</xm:sqref>
        </x14:dataValidation>
        <x14:dataValidation type="list" xr:uid="{8979B0FC-9AFA-4186-99BE-4D6FF736B4BB}">
          <x14:formula1>
            <xm:f>Scoring!$C$18:$C$20</xm:f>
          </x14:formula1>
          <xm:sqref>R5:R105</xm:sqref>
        </x14:dataValidation>
        <x14:dataValidation type="list" xr:uid="{1CE24F4F-3927-4C71-BC00-16E20F41FD6E}">
          <x14:formula1>
            <xm:f>Scoring!$C$13:$C$15</xm:f>
          </x14:formula1>
          <xm:sqref>Q5:Q105</xm:sqref>
        </x14:dataValidation>
        <x14:dataValidation type="list" xr:uid="{7A04F32D-8307-47FF-B0EF-08C825DA3AFC}">
          <x14:formula1>
            <xm:f>Scoring!$C$8:$C$10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44C60-679F-468C-837E-FBED78F1D410}">
  <dimension ref="B1:G30"/>
  <sheetViews>
    <sheetView workbookViewId="0">
      <selection activeCell="C10" sqref="C10"/>
    </sheetView>
  </sheetViews>
  <sheetFormatPr defaultRowHeight="14.45"/>
  <cols>
    <col min="1" max="1" width="2.85546875" customWidth="1"/>
    <col min="2" max="2" width="5.28515625" bestFit="1" customWidth="1"/>
    <col min="3" max="3" width="20.28515625" bestFit="1" customWidth="1"/>
    <col min="4" max="4" width="10.28515625" bestFit="1" customWidth="1"/>
    <col min="5" max="5" width="76.5703125" style="1" bestFit="1" customWidth="1"/>
    <col min="7" max="7" width="12" bestFit="1" customWidth="1"/>
  </cols>
  <sheetData>
    <row r="1" spans="2:7">
      <c r="B1" s="4" t="s">
        <v>29</v>
      </c>
      <c r="C1" s="4" t="s">
        <v>42</v>
      </c>
      <c r="D1" s="4" t="s">
        <v>43</v>
      </c>
      <c r="E1" s="4" t="s">
        <v>44</v>
      </c>
    </row>
    <row r="2" spans="2:7">
      <c r="B2" s="5" t="s">
        <v>45</v>
      </c>
      <c r="C2" s="6" t="s">
        <v>46</v>
      </c>
      <c r="D2" s="5" t="s">
        <v>47</v>
      </c>
      <c r="E2" s="6" t="s">
        <v>48</v>
      </c>
    </row>
    <row r="3" spans="2:7">
      <c r="B3" s="5" t="s">
        <v>49</v>
      </c>
      <c r="C3" s="6" t="s">
        <v>50</v>
      </c>
      <c r="D3" s="5" t="s">
        <v>51</v>
      </c>
      <c r="E3" s="6" t="s">
        <v>52</v>
      </c>
    </row>
    <row r="4" spans="2:7">
      <c r="B4" s="5" t="s">
        <v>53</v>
      </c>
      <c r="C4" s="6" t="s">
        <v>54</v>
      </c>
      <c r="D4" s="5" t="s">
        <v>55</v>
      </c>
      <c r="E4" s="6" t="s">
        <v>56</v>
      </c>
    </row>
    <row r="5" spans="2:7">
      <c r="B5" s="5" t="s">
        <v>57</v>
      </c>
      <c r="C5" s="6" t="s">
        <v>58</v>
      </c>
      <c r="D5" s="5" t="s">
        <v>59</v>
      </c>
      <c r="E5" s="6" t="s">
        <v>60</v>
      </c>
    </row>
    <row r="7" spans="2:7">
      <c r="B7" s="3" t="s">
        <v>61</v>
      </c>
      <c r="C7" s="2" t="s">
        <v>18</v>
      </c>
      <c r="D7" s="3" t="s">
        <v>62</v>
      </c>
      <c r="E7" s="3" t="s">
        <v>63</v>
      </c>
      <c r="G7" s="3" t="s">
        <v>64</v>
      </c>
    </row>
    <row r="8" spans="2:7">
      <c r="B8" s="3">
        <v>1</v>
      </c>
      <c r="C8" s="33" t="s">
        <v>65</v>
      </c>
      <c r="D8" s="33">
        <v>175</v>
      </c>
      <c r="E8" s="33" t="s">
        <v>66</v>
      </c>
      <c r="G8" s="33">
        <f>D8/D10</f>
        <v>5</v>
      </c>
    </row>
    <row r="9" spans="2:7">
      <c r="B9" s="3">
        <v>2</v>
      </c>
      <c r="C9" s="33" t="s">
        <v>37</v>
      </c>
      <c r="D9" s="33">
        <v>105</v>
      </c>
      <c r="E9" s="33" t="s">
        <v>67</v>
      </c>
      <c r="G9" s="33">
        <f>D9/D10</f>
        <v>3</v>
      </c>
    </row>
    <row r="10" spans="2:7">
      <c r="B10" s="3">
        <v>3</v>
      </c>
      <c r="C10" s="33" t="s">
        <v>68</v>
      </c>
      <c r="D10" s="33">
        <v>35</v>
      </c>
      <c r="E10" s="33" t="s">
        <v>69</v>
      </c>
      <c r="G10" s="33">
        <f>D10/D10</f>
        <v>1</v>
      </c>
    </row>
    <row r="12" spans="2:7">
      <c r="B12" s="3" t="s">
        <v>61</v>
      </c>
      <c r="C12" s="2" t="s">
        <v>19</v>
      </c>
      <c r="D12" s="3" t="s">
        <v>62</v>
      </c>
      <c r="E12" s="3" t="s">
        <v>63</v>
      </c>
      <c r="G12" s="3" t="s">
        <v>64</v>
      </c>
    </row>
    <row r="13" spans="2:7">
      <c r="B13" s="3">
        <v>1</v>
      </c>
      <c r="C13" s="33" t="s">
        <v>38</v>
      </c>
      <c r="D13" s="33">
        <v>125</v>
      </c>
      <c r="E13" s="33" t="s">
        <v>70</v>
      </c>
      <c r="G13" s="33">
        <f>D13/D15</f>
        <v>5</v>
      </c>
    </row>
    <row r="14" spans="2:7">
      <c r="B14" s="3">
        <v>2</v>
      </c>
      <c r="C14" s="33" t="s">
        <v>71</v>
      </c>
      <c r="D14" s="33">
        <v>75</v>
      </c>
      <c r="E14" s="33" t="s">
        <v>72</v>
      </c>
      <c r="G14" s="33">
        <f>D14/D15</f>
        <v>3</v>
      </c>
    </row>
    <row r="15" spans="2:7">
      <c r="B15" s="3">
        <v>3</v>
      </c>
      <c r="C15" s="33" t="s">
        <v>41</v>
      </c>
      <c r="D15" s="33">
        <v>25</v>
      </c>
      <c r="E15" s="33" t="s">
        <v>73</v>
      </c>
      <c r="G15" s="33">
        <f>D15/D15</f>
        <v>1</v>
      </c>
    </row>
    <row r="17" spans="2:7">
      <c r="B17" s="3" t="s">
        <v>61</v>
      </c>
      <c r="C17" s="2" t="s">
        <v>20</v>
      </c>
      <c r="D17" s="3" t="s">
        <v>62</v>
      </c>
      <c r="E17" s="3" t="s">
        <v>63</v>
      </c>
      <c r="G17" s="3" t="s">
        <v>64</v>
      </c>
    </row>
    <row r="18" spans="2:7">
      <c r="B18" s="3">
        <v>1</v>
      </c>
      <c r="C18" s="33" t="s">
        <v>39</v>
      </c>
      <c r="D18" s="33">
        <v>50</v>
      </c>
      <c r="E18" s="33" t="s">
        <v>74</v>
      </c>
      <c r="G18" s="33">
        <f>D18/D20</f>
        <v>5</v>
      </c>
    </row>
    <row r="19" spans="2:7">
      <c r="B19" s="3">
        <v>2</v>
      </c>
      <c r="C19" s="33" t="s">
        <v>75</v>
      </c>
      <c r="D19" s="33">
        <v>30</v>
      </c>
      <c r="E19" s="33" t="s">
        <v>76</v>
      </c>
      <c r="G19" s="33">
        <f>D19/D20</f>
        <v>3</v>
      </c>
    </row>
    <row r="20" spans="2:7">
      <c r="B20" s="3">
        <v>3</v>
      </c>
      <c r="C20" s="33" t="s">
        <v>77</v>
      </c>
      <c r="D20" s="33">
        <v>10</v>
      </c>
      <c r="E20" s="33" t="s">
        <v>78</v>
      </c>
      <c r="G20" s="33">
        <f>D20/D20</f>
        <v>1</v>
      </c>
    </row>
    <row r="22" spans="2:7">
      <c r="B22" s="3" t="s">
        <v>61</v>
      </c>
      <c r="C22" s="2" t="s">
        <v>21</v>
      </c>
      <c r="D22" s="3" t="s">
        <v>62</v>
      </c>
      <c r="E22" s="3" t="s">
        <v>63</v>
      </c>
      <c r="G22" s="3" t="s">
        <v>64</v>
      </c>
    </row>
    <row r="23" spans="2:7">
      <c r="B23" s="3">
        <v>1</v>
      </c>
      <c r="C23" s="33" t="s">
        <v>40</v>
      </c>
      <c r="D23" s="33">
        <v>100</v>
      </c>
      <c r="E23" s="33" t="s">
        <v>79</v>
      </c>
      <c r="G23" s="33">
        <f>D23/D25</f>
        <v>5</v>
      </c>
    </row>
    <row r="24" spans="2:7">
      <c r="B24" s="3">
        <v>2</v>
      </c>
      <c r="C24" s="33" t="s">
        <v>80</v>
      </c>
      <c r="D24" s="33">
        <v>60</v>
      </c>
      <c r="E24" s="33" t="s">
        <v>81</v>
      </c>
      <c r="G24" s="33">
        <f>D24/D25</f>
        <v>3</v>
      </c>
    </row>
    <row r="25" spans="2:7">
      <c r="B25" s="3">
        <v>3</v>
      </c>
      <c r="C25" s="33" t="s">
        <v>82</v>
      </c>
      <c r="D25" s="33">
        <v>20</v>
      </c>
      <c r="E25" s="33" t="s">
        <v>83</v>
      </c>
      <c r="G25" s="33">
        <f>D25/D25</f>
        <v>1</v>
      </c>
    </row>
    <row r="27" spans="2:7">
      <c r="B27" s="3" t="s">
        <v>61</v>
      </c>
      <c r="C27" s="2" t="s">
        <v>22</v>
      </c>
      <c r="D27" s="3" t="s">
        <v>62</v>
      </c>
      <c r="E27" s="3" t="s">
        <v>63</v>
      </c>
      <c r="G27" s="3" t="s">
        <v>64</v>
      </c>
    </row>
    <row r="28" spans="2:7">
      <c r="B28" s="3">
        <v>1</v>
      </c>
      <c r="C28" s="33" t="s">
        <v>41</v>
      </c>
      <c r="D28" s="33">
        <v>50</v>
      </c>
      <c r="E28" s="33" t="s">
        <v>84</v>
      </c>
      <c r="G28" s="33">
        <f>D28/D30</f>
        <v>5</v>
      </c>
    </row>
    <row r="29" spans="2:7">
      <c r="B29" s="3">
        <v>2</v>
      </c>
      <c r="C29" s="33" t="s">
        <v>71</v>
      </c>
      <c r="D29" s="33">
        <v>30</v>
      </c>
      <c r="E29" s="33" t="s">
        <v>85</v>
      </c>
      <c r="G29" s="33">
        <f>D29/D30</f>
        <v>3</v>
      </c>
    </row>
    <row r="30" spans="2:7">
      <c r="B30" s="3">
        <v>3</v>
      </c>
      <c r="C30" s="33" t="s">
        <v>38</v>
      </c>
      <c r="D30" s="33">
        <v>10</v>
      </c>
      <c r="E30" s="33" t="s">
        <v>86</v>
      </c>
      <c r="G30" s="33">
        <f>D30/D30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2026-06-03T08:48:46Z</dcterms:created>
  <dcterms:modified xsi:type="dcterms:W3CDTF">2026-07-20T03:09:39Z</dcterms:modified>
  <cp:category/>
  <cp:contentStatus/>
</cp:coreProperties>
</file>